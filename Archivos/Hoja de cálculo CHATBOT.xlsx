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HOJA DE CALCULO V1" sheetId="2" r:id="rId1"/>
  </sheets>
  <definedNames>
    <definedName name="Referencia">'HOJA DE CALCULO V1'!$A$31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<sst xmlns="http://schemas.openxmlformats.org/spreadsheetml/2006/main" count="432" uniqueCount="230">
  <si>
    <t>Método implementado</t>
  </si>
  <si>
    <t>1) INDIQUE TIPO DE TUBERIAS Y SUS DIMENSIONES</t>
  </si>
  <si>
    <t>Dimensiones piscina / Jacuzzi</t>
  </si>
  <si>
    <t>Ancho</t>
  </si>
  <si>
    <t>-</t>
  </si>
  <si>
    <t>m</t>
  </si>
  <si>
    <t>Se refiere al ancho que tiene el cuerpo de agua</t>
  </si>
  <si>
    <t>Volumen</t>
  </si>
  <si>
    <t>V</t>
  </si>
  <si>
    <t>m³</t>
  </si>
  <si>
    <t>Se refiere al volumen que tiene el cuerpo de agua, piscina / jacuzzi</t>
  </si>
  <si>
    <t>Largo</t>
  </si>
  <si>
    <t>Se refiere al largo que tiene el cuerpo de agua</t>
  </si>
  <si>
    <t>Area</t>
  </si>
  <si>
    <t>A_p</t>
  </si>
  <si>
    <t>m²</t>
  </si>
  <si>
    <t>Se refiere a la area que tiene el cuerpo de agua</t>
  </si>
  <si>
    <t>Profundidad</t>
  </si>
  <si>
    <t>Pr_m</t>
  </si>
  <si>
    <t>Se refiere a la profundidad media que tiene el cuerpo de agua</t>
  </si>
  <si>
    <t>Municipio del país</t>
  </si>
  <si>
    <t>Este valor depende de la ubicación que indique el cliente</t>
  </si>
  <si>
    <t>vv</t>
  </si>
  <si>
    <t>Velocidad del aire constante en todo el país [m/s]</t>
  </si>
  <si>
    <t>Condiciones de temperatura</t>
  </si>
  <si>
    <t>Temperatura de climatización</t>
  </si>
  <si>
    <t>T_w</t>
  </si>
  <si>
    <t>°C</t>
  </si>
  <si>
    <t>Se refiere a la Temperatura a la que quiere aumentar el cuerpo de agua</t>
  </si>
  <si>
    <t>Humedad relativa del aire</t>
  </si>
  <si>
    <t>HR</t>
  </si>
  <si>
    <t>%</t>
  </si>
  <si>
    <t>Se refiere a la humedad relativa, esta depende de la ubicación donde se encuentre el cuerpo de agua</t>
  </si>
  <si>
    <t>Temperatura ambiente</t>
  </si>
  <si>
    <t>T_a</t>
  </si>
  <si>
    <t>Se refiere a la Temperatura del aire, esta depende de la ubicación donde se encuentre el cuerpo de agua</t>
  </si>
  <si>
    <t>Uso de manta térmica</t>
  </si>
  <si>
    <t>fs</t>
  </si>
  <si>
    <t>SI</t>
  </si>
  <si>
    <t>NO</t>
  </si>
  <si>
    <t>Pregunta cerrada para conocer la piscina cuenta con cobertor térmico</t>
  </si>
  <si>
    <t>1) CARGA TÉRMICA</t>
  </si>
  <si>
    <t>1) Carga por evaporización</t>
  </si>
  <si>
    <t>2) Carga por convección</t>
  </si>
  <si>
    <t>Entalía de vaporización</t>
  </si>
  <si>
    <t>esta variable es una constante que se refiere a la entalpía de vaporización del agua</t>
  </si>
  <si>
    <t>hfg</t>
  </si>
  <si>
    <t>kJ/kg</t>
  </si>
  <si>
    <t>Factor de cobertor térmico</t>
  </si>
  <si>
    <t>fs = 0.5 si hay manta térmica, 1.0 si no. # esta constante es generado por un condicional, el cual indica cuando el cliente indique si cubre la piscina o no. Este factor es producido por la interacción con el cliente.</t>
  </si>
  <si>
    <t>Presión de saturación</t>
  </si>
  <si>
    <t>Esta operación genera una presión  a la temperatura del agua</t>
  </si>
  <si>
    <t>pws</t>
  </si>
  <si>
    <t>Pa</t>
  </si>
  <si>
    <t>Coeficiente de convección</t>
  </si>
  <si>
    <t xml:space="preserve"> valor que cuantifica la transferencia de calor entre una superficie y un fluido por unidad de área y diferencia de temperatura</t>
  </si>
  <si>
    <t>h_c</t>
  </si>
  <si>
    <t>W/m² °C</t>
  </si>
  <si>
    <t xml:space="preserve"> la cual se refiere a la presión de saturación a la temperatura del aire ambiente</t>
  </si>
  <si>
    <t>pws_a</t>
  </si>
  <si>
    <t>Diferencia de temperatura</t>
  </si>
  <si>
    <t>esta variable es generado por una operación de diferencia de temperatura</t>
  </si>
  <si>
    <t>DT</t>
  </si>
  <si>
    <t>Presión de vapor</t>
  </si>
  <si>
    <t>la cual se refiere a la presión del vapor en función de la variable pws_a y la variable HR, la cual se refiere a la humedad relativa relacionada con la ubicación donde está la piscina o jacuzzi.</t>
  </si>
  <si>
    <t>pwa</t>
  </si>
  <si>
    <t>Carga por convección</t>
  </si>
  <si>
    <t xml:space="preserve"> transferencia de calor que ocurre por el movimiento físico de un fluido </t>
  </si>
  <si>
    <t>Q_conv</t>
  </si>
  <si>
    <t>kW</t>
  </si>
  <si>
    <t>Diferencia de presión</t>
  </si>
  <si>
    <t>Diferencia entre la presión de saturación del aire y del agua</t>
  </si>
  <si>
    <t>Dp</t>
  </si>
  <si>
    <t>kPa</t>
  </si>
  <si>
    <t>4) Carga por conducción</t>
  </si>
  <si>
    <t>Coeficiente de vaporización</t>
  </si>
  <si>
    <t>esta operación genera una variable que se refiere al coeficiente de evaporización.</t>
  </si>
  <si>
    <t>h_evap</t>
  </si>
  <si>
    <t>W/m²</t>
  </si>
  <si>
    <t>Carga por conducción</t>
  </si>
  <si>
    <t>transferencia de energía a través del contacto directo, que puede ser una pérdida de calor desde el agua hacia las paredes y el suelo de la piscina</t>
  </si>
  <si>
    <t>Q_cond</t>
  </si>
  <si>
    <t>Carga por evaporización</t>
  </si>
  <si>
    <t xml:space="preserve">Carga por evaporización </t>
  </si>
  <si>
    <t>Q_evap</t>
  </si>
  <si>
    <t>5) Carga por radiación</t>
  </si>
  <si>
    <t>Carga térmica para calefacción de piscina</t>
  </si>
  <si>
    <t>Conversión de temperatura</t>
  </si>
  <si>
    <t>T_wa</t>
  </si>
  <si>
    <t>°K</t>
  </si>
  <si>
    <t>Carga térmica total</t>
  </si>
  <si>
    <t>Q_total</t>
  </si>
  <si>
    <t>T_aa</t>
  </si>
  <si>
    <t>Coficiente de emisividad para el agua</t>
  </si>
  <si>
    <t xml:space="preserve">Este valor puede variar ligeramente dependiendo de factores como la longitud de onda de la radiación y la temperatura. </t>
  </si>
  <si>
    <t>eps</t>
  </si>
  <si>
    <t>Carga por energía térmica</t>
  </si>
  <si>
    <t>Operación en la temperatura</t>
  </si>
  <si>
    <t>esta variable es generado por una operación, se refiere una operación donde se eleva a la potencia 4</t>
  </si>
  <si>
    <t>T_waa</t>
  </si>
  <si>
    <t>°K^4</t>
  </si>
  <si>
    <t>Calor especifico del agua</t>
  </si>
  <si>
    <t>Cp</t>
  </si>
  <si>
    <t>kJ/kg°C</t>
  </si>
  <si>
    <t>T_aaa</t>
  </si>
  <si>
    <t>Densidad del agua</t>
  </si>
  <si>
    <t>Ro</t>
  </si>
  <si>
    <t>kg/m³</t>
  </si>
  <si>
    <t>Diferencia de temperatura por operación</t>
  </si>
  <si>
    <t>esta variable es generado por una operación de diferencia de temperatura en unidades de °K^4</t>
  </si>
  <si>
    <t>DTC</t>
  </si>
  <si>
    <t>Diferencial de temperatura</t>
  </si>
  <si>
    <t>Dtt</t>
  </si>
  <si>
    <t>Carga por radiación</t>
  </si>
  <si>
    <t>El calor por evaporación en una piscina es la pérdida de energía térmica que ocurre cuando parte del agua superficial se transforma en vapor y pasa al aire.</t>
  </si>
  <si>
    <t>Q_rad</t>
  </si>
  <si>
    <t>Energía térmica</t>
  </si>
  <si>
    <t>q_ter</t>
  </si>
  <si>
    <t>kWh</t>
  </si>
  <si>
    <t>2) SELECCIÓN DE EQUIPOS_VENTA</t>
  </si>
  <si>
    <t>Inventario de equipos INVERTER</t>
  </si>
  <si>
    <t>Referencia</t>
  </si>
  <si>
    <t>Capacidad comercial</t>
  </si>
  <si>
    <t>Capacidad por selección</t>
  </si>
  <si>
    <t>Costo (IVA no incluido)</t>
  </si>
  <si>
    <t>BCAH-I-80-32-2EF</t>
  </si>
  <si>
    <t xml:space="preserve">80 000 BTU/h </t>
  </si>
  <si>
    <t>VENTA</t>
  </si>
  <si>
    <t>BCAH-I-112-32-XEF</t>
  </si>
  <si>
    <t xml:space="preserve">112 000 BTU/h </t>
  </si>
  <si>
    <t xml:space="preserve">BCAH-I-150-32-XEF </t>
  </si>
  <si>
    <t xml:space="preserve">150 000 BTU/h </t>
  </si>
  <si>
    <t>Inventario de equipos  ON/OFF</t>
  </si>
  <si>
    <t xml:space="preserve">BCAH-96-410-XEF </t>
  </si>
  <si>
    <t xml:space="preserve">96 000 BTU/h </t>
  </si>
  <si>
    <t>ALQUILER</t>
  </si>
  <si>
    <t xml:space="preserve">BCAH-140-410-3EF </t>
  </si>
  <si>
    <t>140 000 BTU/h</t>
  </si>
  <si>
    <t>2) SELECCIÓN DE EQUIPOS_RENT</t>
  </si>
  <si>
    <t xml:space="preserve">BCAH-96-410-2EF </t>
  </si>
  <si>
    <t xml:space="preserve">BCAH-96-410-3EF </t>
  </si>
  <si>
    <t>CRITERIO DE SELECCIÓN ON OFF RENTING</t>
  </si>
  <si>
    <t>CRITERIO DE SELECCIÓN VENTA</t>
  </si>
  <si>
    <t>CRITERIO DE SELECCIÓN ON OFF</t>
  </si>
  <si>
    <t>CRITERIO DE SELECCIÓN INVERTER</t>
  </si>
  <si>
    <t>Si 3 &lt; P_cal ≤ 26,9: Seleccionar (1 × BCAH-96-410-XEF)</t>
  </si>
  <si>
    <t>Si 3 ≤ P_cal ≤ 20: Seleccionar (1 × BCAH-I-80-32-2EF)</t>
  </si>
  <si>
    <t>Si 26,9 &lt; P_cal ≤ 53,9 : Seleccionar (1 × BCAH-96-410-XEF)</t>
  </si>
  <si>
    <t>Si 26,9 &lt; P_cal ≤ 41,9: Seleccionar (1 × BCAH-140-410-3EF)</t>
  </si>
  <si>
    <t xml:space="preserve">Si 20 &lt; P_cal ≤ 30: Seleccionar (1 × BCAH-I-112-32-XEF) </t>
  </si>
  <si>
    <t xml:space="preserve">Si 53,9 &lt; P_cal ≤ 80,9: Seleccionar (3 × BCAH-96-410-XEF) </t>
  </si>
  <si>
    <t xml:space="preserve">Si 41,9 &lt; P_cal ≤ 53,9: Seleccionar (2 × BCAH-96-410-3EF) </t>
  </si>
  <si>
    <t xml:space="preserve">Si 30 &lt; P_cal ≤ 40: Seleccionar (1 × BCAH-I-150-32-XEF) </t>
  </si>
  <si>
    <t>Si 80,9 &lt; P_cal ≤ 107,6: Seleccionar (4 × BCAH-96-410-XEF)</t>
  </si>
  <si>
    <t xml:space="preserve">Si 40 &lt; P_cal ≤ 59.9: Seleccionar (2 × BCAH-I-112-32-XEF) </t>
  </si>
  <si>
    <t xml:space="preserve">Si 107,6 &lt; P_cal ≤ 134,5: Seleccionar (5 × BCAH-96-410-XEF) </t>
  </si>
  <si>
    <t xml:space="preserve">Si 80,9 &lt; P_cal ≤ 83,9: Seleccionar (2 × BCAH-140-410-3EF) </t>
  </si>
  <si>
    <t xml:space="preserve">Si 59.9 &lt; P_cal ≤ 80: Seleccionar (2 × BCAH-I-150-32-XEF) </t>
  </si>
  <si>
    <t>Si P_cal &gt; 134,5: combinar unidades BCAH-96-410-XEF hasta cubrir la potencia.</t>
  </si>
  <si>
    <t>Si 83,9 &lt; P_cal ≤ 126: Seleccionar (3 × BCAH-140-410-3EF)</t>
  </si>
  <si>
    <t>Si 80 &lt; P_cal ≤ 89.9: Seleccionar (3 × BCAH-I-112-32-XEF)</t>
  </si>
  <si>
    <t>Si P_cal &gt; 126: combinar unidades BCAH-140-410-3EF hasta cubrir la potencia.</t>
  </si>
  <si>
    <t>Si 89.9 &lt; P_cal ≤ 120: Seleccionar (3 × BCAH-I-150-32-XEF)</t>
  </si>
  <si>
    <t>Si P_cal &gt; 120: combinar unidades BCAH-I-150-32-XEF hasta cubrir la potencia.</t>
  </si>
  <si>
    <t>ECUACION GENERAL PARA LA SELECCIÓN DEL EQUIPO</t>
  </si>
  <si>
    <t>TIEMPO DE CALENTAMIENTO</t>
  </si>
  <si>
    <t xml:space="preserve">Potencia a instalar </t>
  </si>
  <si>
    <t>Potencia a instalar seleccionada de acuerdo al número de equipos</t>
  </si>
  <si>
    <t>P_cal</t>
  </si>
  <si>
    <t>Horas diarias</t>
  </si>
  <si>
    <t>Horas diarias de operación del equipo</t>
  </si>
  <si>
    <t>h_op</t>
  </si>
  <si>
    <t>h</t>
  </si>
  <si>
    <t>4.1.  Cálculo de COP y costo de operación</t>
  </si>
  <si>
    <t>Energía térmica para inercia</t>
  </si>
  <si>
    <t>Energía térmica para inercia térmica, es decir aumentar la temperatura de la piscina, desde temperatura ambiente</t>
  </si>
  <si>
    <t>Temperatura ambiente de operación</t>
  </si>
  <si>
    <t>Temperatura ambiente de operación de los equipos. El COP depende de la temperatura ambiente promedio</t>
  </si>
  <si>
    <t>Calor efectivo aportado por los equipos</t>
  </si>
  <si>
    <t>Calor efectivo, producto de la diferencia entre la potencia a instalar y el calor necesario por pérdidas</t>
  </si>
  <si>
    <t>q_efec</t>
  </si>
  <si>
    <t xml:space="preserve">Si 32°C ≥ T_a ≥ 26°C → COP = 6 </t>
  </si>
  <si>
    <t>COP</t>
  </si>
  <si>
    <t>4</t>
  </si>
  <si>
    <t>Tiempo de calentamiento</t>
  </si>
  <si>
    <t>Tiempo de calentamiento, depende del las horas de trabajo diarios</t>
  </si>
  <si>
    <t>t_ob</t>
  </si>
  <si>
    <t xml:space="preserve">Si 25°C ≥ T_a ≥ 21°C → COP = 5 </t>
  </si>
  <si>
    <t>EQUIPOS EN ALQUILER</t>
  </si>
  <si>
    <t>INSTALACIÓN EQUIPOS EN ALQUILER</t>
  </si>
  <si>
    <t>Si 20°C ≥ T_a ≥ 16°C → COP = 4</t>
  </si>
  <si>
    <t>TIPO PERSONA NATURAL</t>
  </si>
  <si>
    <t xml:space="preserve">Municipios de Antioquia </t>
  </si>
  <si>
    <t>FN</t>
  </si>
  <si>
    <t xml:space="preserve"> $/m³</t>
  </si>
  <si>
    <t>INSTALACIÓN PERSONA NATURAL</t>
  </si>
  <si>
    <t>IN</t>
  </si>
  <si>
    <t>Potencia eléctrica</t>
  </si>
  <si>
    <t>Potencia eléctrica parcial durante la operación</t>
  </si>
  <si>
    <t>P_elect</t>
  </si>
  <si>
    <t xml:space="preserve">Municipios de Quindio </t>
  </si>
  <si>
    <t>Consumo eléctrico diario</t>
  </si>
  <si>
    <t>Consumo eléctrico parcial durante la opeación de los equipos</t>
  </si>
  <si>
    <t>W_elec</t>
  </si>
  <si>
    <t>kWh/dia</t>
  </si>
  <si>
    <t xml:space="preserve">Municipios de Cundinamarca </t>
  </si>
  <si>
    <t>Consumo eléctrico mensual</t>
  </si>
  <si>
    <t>Consumo eléctrico mensual aprox</t>
  </si>
  <si>
    <t>W_elec_mes</t>
  </si>
  <si>
    <t>kWh/mes</t>
  </si>
  <si>
    <t>Municipios en Zona Costera Colombiana</t>
  </si>
  <si>
    <t>Costo de kWh de energía eléctrica</t>
  </si>
  <si>
    <t>Costo de operación mensual</t>
  </si>
  <si>
    <t>Pe</t>
  </si>
  <si>
    <t>$/kWh</t>
  </si>
  <si>
    <t>Resto de municipios de Colombia</t>
  </si>
  <si>
    <t>Costo mensual de energía eléctrica</t>
  </si>
  <si>
    <t>Costo_mes</t>
  </si>
  <si>
    <t>TIPO UNIDAD RESIDENCIAL</t>
  </si>
  <si>
    <t>FR</t>
  </si>
  <si>
    <t>INSTALACIÓN UNIDAD RESIDENCIAL</t>
  </si>
  <si>
    <t>IR</t>
  </si>
  <si>
    <t>TIPO PERSONA JURIDICO</t>
  </si>
  <si>
    <t>FJ</t>
  </si>
  <si>
    <t>INSTALACIÓN PERSONA JURIDICA</t>
  </si>
  <si>
    <t>IJ</t>
  </si>
  <si>
    <t>INSTALACIÓN EQUIPOS EN VENTA</t>
  </si>
  <si>
    <t>CN</t>
  </si>
  <si>
    <t>CR</t>
  </si>
  <si>
    <t>CJ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</si>
</sst>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\ * #,##0.00_-;\-&quot;$&quot;\ * #,##0.00_-;_-&quot;$&quot;\ * &quot;-&quot;??_-;_-@_-"/>
    <numFmt numFmtId="178" formatCode="_ * #,##0_ ;_ * \-#,##0_ ;_ * &quot;-&quot;_ ;_ @_ "/>
    <numFmt numFmtId="179" formatCode="&quot;$&quot;\ #,##0;[Red]\-&quot;$&quot;\ #,##0"/>
    <numFmt numFmtId="180" formatCode="0.0"/>
    <numFmt numFmtId="181" formatCode="_ * #,##0_ ;_ * \-#,##0_ ;_ * &quot;-&quot;??_ ;_ @_ "/>
  </numFmts>
  <fonts count="29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i/>
      <u/>
      <sz val="11"/>
      <color theme="1"/>
      <name val="Arial"/>
      <charset val="134"/>
    </font>
    <font>
      <b/>
      <i/>
      <u/>
      <sz val="16"/>
      <color theme="1"/>
      <name val="Arial"/>
      <charset val="134"/>
    </font>
    <font>
      <b/>
      <sz val="12"/>
      <color theme="1"/>
      <name val="Arial"/>
      <charset val="134"/>
    </font>
    <font>
      <b/>
      <i/>
      <sz val="11"/>
      <color theme="1"/>
      <name val="Arial"/>
      <charset val="134"/>
    </font>
    <font>
      <b/>
      <i/>
      <sz val="11"/>
      <color theme="8" tint="-0.249977111117893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2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7" borderId="28" applyNumberFormat="0" applyAlignment="0" applyProtection="0">
      <alignment vertical="center"/>
    </xf>
    <xf numFmtId="0" fontId="19" fillId="18" borderId="29" applyNumberFormat="0" applyAlignment="0" applyProtection="0">
      <alignment vertical="center"/>
    </xf>
    <xf numFmtId="0" fontId="20" fillId="18" borderId="28" applyNumberFormat="0" applyAlignment="0" applyProtection="0">
      <alignment vertical="center"/>
    </xf>
    <xf numFmtId="0" fontId="21" fillId="19" borderId="30" applyNumberFormat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19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1" xfId="49" applyFont="1" applyFill="1" applyBorder="1" applyAlignment="1">
      <alignment horizontal="center"/>
    </xf>
    <xf numFmtId="0" fontId="3" fillId="0" borderId="1" xfId="49" applyFont="1" applyBorder="1"/>
    <xf numFmtId="0" fontId="1" fillId="0" borderId="1" xfId="49" applyFont="1" applyBorder="1"/>
    <xf numFmtId="0" fontId="4" fillId="4" borderId="2" xfId="49" applyFont="1" applyFill="1" applyBorder="1" applyAlignment="1">
      <alignment horizontal="center"/>
    </xf>
    <xf numFmtId="0" fontId="4" fillId="4" borderId="3" xfId="49" applyFont="1" applyFill="1" applyBorder="1" applyAlignment="1">
      <alignment horizontal="center"/>
    </xf>
    <xf numFmtId="0" fontId="1" fillId="5" borderId="4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right" vertical="center" wrapText="1"/>
    </xf>
    <xf numFmtId="0" fontId="1" fillId="6" borderId="1" xfId="49" applyFont="1" applyFill="1" applyBorder="1" applyAlignment="1">
      <alignment horizontal="center" vertical="center" wrapText="1"/>
    </xf>
    <xf numFmtId="0" fontId="3" fillId="6" borderId="1" xfId="49" applyFont="1" applyFill="1" applyBorder="1" applyAlignment="1">
      <alignment horizontal="center" vertical="center"/>
    </xf>
    <xf numFmtId="0" fontId="1" fillId="5" borderId="6" xfId="49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0" fontId="1" fillId="5" borderId="7" xfId="49" applyFont="1" applyFill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1" fillId="0" borderId="5" xfId="49" applyFont="1" applyBorder="1" applyAlignment="1">
      <alignment vertical="center" wrapText="1"/>
    </xf>
    <xf numFmtId="0" fontId="1" fillId="5" borderId="4" xfId="49" applyFont="1" applyFill="1" applyBorder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6" borderId="5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1" fillId="5" borderId="7" xfId="49" applyFont="1" applyFill="1" applyBorder="1" applyAlignment="1">
      <alignment horizontal="center" vertical="center"/>
    </xf>
    <xf numFmtId="0" fontId="1" fillId="0" borderId="3" xfId="49" applyFont="1" applyBorder="1" applyAlignment="1">
      <alignment horizontal="center"/>
    </xf>
    <xf numFmtId="0" fontId="1" fillId="0" borderId="8" xfId="49" applyFont="1" applyBorder="1"/>
    <xf numFmtId="0" fontId="1" fillId="0" borderId="3" xfId="49" applyFont="1" applyBorder="1"/>
    <xf numFmtId="0" fontId="1" fillId="0" borderId="0" xfId="49" applyFont="1"/>
    <xf numFmtId="0" fontId="5" fillId="4" borderId="3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5" borderId="9" xfId="49" applyFont="1" applyFill="1" applyBorder="1" applyAlignment="1">
      <alignment horizontal="center" vertical="center"/>
    </xf>
    <xf numFmtId="0" fontId="6" fillId="5" borderId="10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right" vertical="center"/>
    </xf>
    <xf numFmtId="0" fontId="3" fillId="2" borderId="1" xfId="49" applyFont="1" applyFill="1" applyBorder="1" applyAlignment="1">
      <alignment horizontal="left" vertical="center" wrapText="1"/>
    </xf>
    <xf numFmtId="0" fontId="3" fillId="2" borderId="1" xfId="49" applyFont="1" applyFill="1" applyBorder="1" applyAlignment="1">
      <alignment horizontal="right" vertical="center"/>
    </xf>
    <xf numFmtId="1" fontId="1" fillId="0" borderId="1" xfId="49" applyNumberFormat="1" applyFont="1" applyBorder="1" applyAlignment="1">
      <alignment horizontal="right" vertical="center"/>
    </xf>
    <xf numFmtId="0" fontId="1" fillId="0" borderId="1" xfId="49" applyFont="1" applyBorder="1" applyAlignment="1">
      <alignment horizontal="left" vertical="center"/>
    </xf>
    <xf numFmtId="0" fontId="1" fillId="2" borderId="1" xfId="49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0" fontId="3" fillId="2" borderId="1" xfId="49" applyFont="1" applyFill="1" applyBorder="1" applyAlignment="1">
      <alignment horizontal="left" wrapText="1"/>
    </xf>
    <xf numFmtId="0" fontId="6" fillId="7" borderId="1" xfId="49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right" vertical="center"/>
    </xf>
    <xf numFmtId="0" fontId="3" fillId="2" borderId="7" xfId="49" applyFont="1" applyFill="1" applyBorder="1" applyAlignment="1">
      <alignment horizontal="left" vertical="center" wrapText="1"/>
    </xf>
    <xf numFmtId="0" fontId="3" fillId="2" borderId="7" xfId="49" applyFont="1" applyFill="1" applyBorder="1" applyAlignment="1">
      <alignment horizontal="right" vertical="center"/>
    </xf>
    <xf numFmtId="1" fontId="1" fillId="0" borderId="7" xfId="49" applyNumberFormat="1" applyFont="1" applyBorder="1" applyAlignment="1">
      <alignment horizontal="right" vertical="center"/>
    </xf>
    <xf numFmtId="0" fontId="1" fillId="0" borderId="9" xfId="49" applyFont="1" applyBorder="1" applyAlignment="1">
      <alignment horizontal="left" vertical="center"/>
    </xf>
    <xf numFmtId="0" fontId="1" fillId="2" borderId="0" xfId="49" applyFont="1" applyFill="1" applyAlignment="1">
      <alignment horizontal="right" vertical="center" wrapText="1"/>
    </xf>
    <xf numFmtId="0" fontId="1" fillId="2" borderId="0" xfId="49" applyFont="1" applyFill="1" applyAlignment="1">
      <alignment horizontal="left" vertical="center" wrapText="1"/>
    </xf>
    <xf numFmtId="0" fontId="1" fillId="2" borderId="0" xfId="49" applyFont="1" applyFill="1" applyAlignment="1">
      <alignment horizontal="right" vertical="center"/>
    </xf>
    <xf numFmtId="0" fontId="3" fillId="7" borderId="1" xfId="49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3" fillId="7" borderId="1" xfId="49" applyFont="1" applyFill="1" applyBorder="1"/>
    <xf numFmtId="11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4" fillId="4" borderId="3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3" fillId="7" borderId="2" xfId="49" applyFont="1" applyFill="1" applyBorder="1" applyAlignment="1">
      <alignment horizontal="center" vertical="center"/>
    </xf>
    <xf numFmtId="0" fontId="1" fillId="0" borderId="1" xfId="0" applyFont="1" applyBorder="1"/>
    <xf numFmtId="0" fontId="1" fillId="6" borderId="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79" fontId="1" fillId="0" borderId="1" xfId="0" applyNumberFormat="1" applyFont="1" applyBorder="1" applyAlignment="1">
      <alignment horizontal="center" vertical="center"/>
    </xf>
    <xf numFmtId="0" fontId="3" fillId="7" borderId="5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/>
    </xf>
    <xf numFmtId="0" fontId="1" fillId="2" borderId="3" xfId="49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79" fontId="1" fillId="2" borderId="3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49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79" fontId="1" fillId="2" borderId="0" xfId="0" applyNumberFormat="1" applyFont="1" applyFill="1" applyBorder="1" applyAlignment="1">
      <alignment horizontal="center" vertical="center"/>
    </xf>
    <xf numFmtId="0" fontId="3" fillId="4" borderId="12" xfId="49" applyFont="1" applyFill="1" applyBorder="1" applyAlignment="1">
      <alignment horizontal="center" vertical="center"/>
    </xf>
    <xf numFmtId="0" fontId="3" fillId="4" borderId="13" xfId="49" applyFont="1" applyFill="1" applyBorder="1" applyAlignment="1">
      <alignment horizontal="center" vertical="center"/>
    </xf>
    <xf numFmtId="0" fontId="3" fillId="4" borderId="14" xfId="49" applyFont="1" applyFill="1" applyBorder="1" applyAlignment="1">
      <alignment horizontal="center" vertical="center"/>
    </xf>
    <xf numFmtId="0" fontId="3" fillId="7" borderId="15" xfId="49" applyFont="1" applyFill="1" applyBorder="1" applyAlignment="1">
      <alignment horizontal="center" vertical="center"/>
    </xf>
    <xf numFmtId="0" fontId="3" fillId="7" borderId="16" xfId="49" applyFont="1" applyFill="1" applyBorder="1" applyAlignment="1">
      <alignment horizontal="center" vertical="center"/>
    </xf>
    <xf numFmtId="0" fontId="3" fillId="4" borderId="17" xfId="49" applyFont="1" applyFill="1" applyBorder="1" applyAlignment="1">
      <alignment horizontal="center" vertical="center"/>
    </xf>
    <xf numFmtId="0" fontId="3" fillId="4" borderId="18" xfId="49" applyFont="1" applyFill="1" applyBorder="1" applyAlignment="1">
      <alignment horizontal="center" vertical="center"/>
    </xf>
    <xf numFmtId="0" fontId="3" fillId="4" borderId="19" xfId="49" applyFont="1" applyFill="1" applyBorder="1" applyAlignment="1">
      <alignment horizontal="center" vertical="center"/>
    </xf>
    <xf numFmtId="0" fontId="3" fillId="4" borderId="15" xfId="49" applyFont="1" applyFill="1" applyBorder="1" applyAlignment="1">
      <alignment horizontal="center" vertical="center"/>
    </xf>
    <xf numFmtId="0" fontId="3" fillId="4" borderId="16" xfId="49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4" borderId="0" xfId="49" applyFont="1" applyFill="1" applyAlignment="1">
      <alignment horizontal="center" vertical="center"/>
    </xf>
    <xf numFmtId="0" fontId="3" fillId="4" borderId="10" xfId="49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4" borderId="3" xfId="49" applyFont="1" applyFill="1" applyBorder="1" applyAlignment="1">
      <alignment horizontal="center" vertical="center"/>
    </xf>
    <xf numFmtId="0" fontId="9" fillId="4" borderId="21" xfId="49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49" fontId="1" fillId="0" borderId="1" xfId="2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3" borderId="0" xfId="49" applyFont="1" applyFill="1" applyAlignment="1">
      <alignment horizontal="center"/>
    </xf>
    <xf numFmtId="0" fontId="4" fillId="4" borderId="0" xfId="49" applyFont="1" applyFill="1" applyAlignment="1">
      <alignment horizontal="center"/>
    </xf>
    <xf numFmtId="0" fontId="1" fillId="2" borderId="1" xfId="49" applyFont="1" applyFill="1" applyBorder="1" applyAlignment="1">
      <alignment horizontal="left" vertical="center" wrapText="1"/>
    </xf>
    <xf numFmtId="0" fontId="1" fillId="2" borderId="0" xfId="49" applyFont="1" applyFill="1"/>
    <xf numFmtId="1" fontId="1" fillId="0" borderId="1" xfId="49" applyNumberFormat="1" applyFont="1" applyBorder="1" applyAlignment="1">
      <alignment horizontal="center" vertical="center"/>
    </xf>
    <xf numFmtId="0" fontId="1" fillId="2" borderId="0" xfId="49" applyFont="1" applyFill="1" applyAlignment="1">
      <alignment horizontal="left"/>
    </xf>
    <xf numFmtId="0" fontId="2" fillId="6" borderId="1" xfId="49" applyFont="1" applyFill="1" applyBorder="1" applyAlignment="1">
      <alignment horizontal="center" vertical="center"/>
    </xf>
    <xf numFmtId="0" fontId="1" fillId="0" borderId="1" xfId="49" applyFont="1" applyBorder="1" applyAlignment="1">
      <alignment horizontal="left" vertical="center" wrapText="1"/>
    </xf>
    <xf numFmtId="0" fontId="1" fillId="0" borderId="22" xfId="49" applyFont="1" applyBorder="1"/>
    <xf numFmtId="0" fontId="4" fillId="2" borderId="0" xfId="49" applyFont="1" applyFill="1" applyAlignment="1">
      <alignment horizontal="center"/>
    </xf>
    <xf numFmtId="0" fontId="3" fillId="2" borderId="0" xfId="49" applyFont="1" applyFill="1" applyAlignment="1">
      <alignment horizontal="center"/>
    </xf>
    <xf numFmtId="0" fontId="3" fillId="5" borderId="0" xfId="49" applyFont="1" applyFill="1" applyAlignment="1">
      <alignment horizontal="center"/>
    </xf>
    <xf numFmtId="0" fontId="1" fillId="0" borderId="1" xfId="49" applyFont="1" applyBorder="1" applyAlignment="1">
      <alignment horizontal="right" vertical="center"/>
    </xf>
    <xf numFmtId="0" fontId="1" fillId="6" borderId="0" xfId="49" applyFont="1" applyFill="1"/>
    <xf numFmtId="180" fontId="1" fillId="0" borderId="1" xfId="0" applyNumberFormat="1" applyFont="1" applyBorder="1" applyAlignment="1">
      <alignment horizontal="right" vertical="center"/>
    </xf>
    <xf numFmtId="180" fontId="1" fillId="0" borderId="1" xfId="49" applyNumberFormat="1" applyFont="1" applyBorder="1" applyAlignment="1">
      <alignment horizontal="right" vertical="center"/>
    </xf>
    <xf numFmtId="1" fontId="1" fillId="0" borderId="0" xfId="49" applyNumberFormat="1" applyFont="1" applyAlignment="1">
      <alignment horizontal="right" vertical="center"/>
    </xf>
    <xf numFmtId="0" fontId="1" fillId="0" borderId="0" xfId="49" applyFont="1" applyAlignment="1">
      <alignment horizontal="left" vertical="center"/>
    </xf>
    <xf numFmtId="181" fontId="3" fillId="6" borderId="1" xfId="1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3" fillId="7" borderId="11" xfId="49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0" xfId="0" applyFont="1" applyFill="1" applyBorder="1"/>
    <xf numFmtId="0" fontId="3" fillId="7" borderId="23" xfId="49" applyFont="1" applyFill="1" applyBorder="1" applyAlignment="1">
      <alignment horizontal="center" vertical="center"/>
    </xf>
    <xf numFmtId="0" fontId="3" fillId="7" borderId="2" xfId="49" applyFont="1" applyFill="1" applyBorder="1" applyAlignment="1">
      <alignment vertical="center"/>
    </xf>
    <xf numFmtId="0" fontId="3" fillId="4" borderId="23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vertical="center"/>
    </xf>
    <xf numFmtId="0" fontId="1" fillId="10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180" fontId="1" fillId="9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1" fontId="1" fillId="0" borderId="0" xfId="0" applyNumberFormat="1" applyFont="1"/>
    <xf numFmtId="2" fontId="1" fillId="0" borderId="0" xfId="0" applyNumberFormat="1" applyFont="1"/>
    <xf numFmtId="0" fontId="1" fillId="12" borderId="7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right" vertical="center"/>
    </xf>
    <xf numFmtId="0" fontId="1" fillId="1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2" fontId="1" fillId="0" borderId="1" xfId="2" applyNumberFormat="1" applyFont="1" applyBorder="1" applyAlignment="1">
      <alignment horizontal="center" vertical="center"/>
    </xf>
    <xf numFmtId="177" fontId="2" fillId="6" borderId="1" xfId="2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right" vertical="center"/>
    </xf>
    <xf numFmtId="0" fontId="1" fillId="1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right" vertical="center" wrapText="1"/>
    </xf>
    <xf numFmtId="0" fontId="6" fillId="14" borderId="1" xfId="0" applyFont="1" applyFill="1" applyBorder="1" applyAlignment="1">
      <alignment horizontal="right" vertical="center" wrapText="1"/>
    </xf>
    <xf numFmtId="0" fontId="6" fillId="15" borderId="1" xfId="0" applyFont="1" applyFill="1" applyBorder="1" applyAlignment="1">
      <alignment horizontal="right" vertical="center"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T95"/>
  <sheetViews>
    <sheetView tabSelected="1" zoomScale="85" zoomScaleNormal="85" topLeftCell="A12" workbookViewId="0">
      <selection activeCell="K20" sqref="K20"/>
    </sheetView>
  </sheetViews>
  <sheetFormatPr defaultColWidth="11" defaultRowHeight="14.25"/>
  <cols>
    <col min="1" max="1" width="33.2" style="1" customWidth="1"/>
    <col min="2" max="2" width="39" style="1" customWidth="1"/>
    <col min="3" max="3" width="12.1" style="1" customWidth="1"/>
    <col min="4" max="4" width="16.4" style="1" customWidth="1"/>
    <col min="5" max="5" width="9.9" style="1" customWidth="1"/>
    <col min="6" max="6" width="42.8" style="1" customWidth="1"/>
    <col min="7" max="7" width="52.9" style="1" customWidth="1"/>
    <col min="8" max="8" width="11.9" style="1" customWidth="1"/>
    <col min="9" max="9" width="11.4" style="1" customWidth="1"/>
    <col min="10" max="10" width="11" style="1"/>
    <col min="11" max="11" width="28.8" style="1" customWidth="1"/>
    <col min="12" max="12" width="35.8" style="1" customWidth="1"/>
    <col min="13" max="16384" width="11" style="1"/>
  </cols>
  <sheetData>
    <row r="1" spans="1:18">
      <c r="A1" s="3"/>
      <c r="B1" s="3"/>
      <c r="C1" s="3"/>
      <c r="D1" s="3"/>
      <c r="E1" s="3"/>
      <c r="F1" s="3"/>
      <c r="G1" s="3"/>
      <c r="H1" s="3"/>
      <c r="I1" s="3"/>
      <c r="J1" s="3"/>
      <c r="K1" s="136"/>
      <c r="L1" s="136"/>
      <c r="M1" s="136"/>
      <c r="N1" s="29"/>
      <c r="O1" s="29"/>
      <c r="P1" s="29"/>
      <c r="Q1" s="29"/>
      <c r="R1" s="29"/>
    </row>
    <row r="2" ht="15" spans="1:18">
      <c r="A2" s="4" t="s">
        <v>0</v>
      </c>
      <c r="B2" s="5"/>
      <c r="C2" s="5"/>
      <c r="D2" s="3"/>
      <c r="E2" s="3"/>
      <c r="F2" s="3"/>
      <c r="G2" s="3"/>
      <c r="H2" s="3"/>
      <c r="I2" s="3"/>
      <c r="J2" s="3"/>
      <c r="K2" s="136"/>
      <c r="L2" s="136"/>
      <c r="M2" s="136"/>
      <c r="N2" s="29"/>
      <c r="O2" s="29"/>
      <c r="P2" s="29"/>
      <c r="Q2" s="29"/>
      <c r="R2" s="29"/>
    </row>
    <row r="3" ht="15" spans="1:18">
      <c r="A3" s="6" t="s">
        <v>1</v>
      </c>
      <c r="B3" s="6"/>
      <c r="C3" s="6"/>
      <c r="D3" s="6"/>
      <c r="E3" s="6"/>
      <c r="F3" s="7"/>
      <c r="G3" s="7"/>
      <c r="H3" s="7"/>
      <c r="I3" s="7"/>
      <c r="J3" s="7"/>
      <c r="K3" s="137"/>
      <c r="L3" s="137"/>
      <c r="M3" s="137"/>
      <c r="N3" s="29"/>
      <c r="O3" s="29"/>
      <c r="P3" s="29"/>
      <c r="Q3" s="29"/>
      <c r="R3" s="29"/>
    </row>
    <row r="4" ht="48" customHeight="1" spans="1:18">
      <c r="A4" s="8" t="s">
        <v>2</v>
      </c>
      <c r="B4" s="9" t="s">
        <v>3</v>
      </c>
      <c r="C4" s="10" t="s">
        <v>4</v>
      </c>
      <c r="D4" s="9"/>
      <c r="E4" s="11" t="s">
        <v>5</v>
      </c>
      <c r="F4" s="12" t="s">
        <v>6</v>
      </c>
      <c r="G4" s="13" t="s">
        <v>7</v>
      </c>
      <c r="H4" s="14" t="s">
        <v>8</v>
      </c>
      <c r="I4" s="22">
        <v>50</v>
      </c>
      <c r="J4" s="22" t="s">
        <v>9</v>
      </c>
      <c r="K4" s="138" t="s">
        <v>10</v>
      </c>
      <c r="L4" s="139"/>
      <c r="M4" s="139"/>
      <c r="N4" s="29"/>
      <c r="O4" s="29"/>
      <c r="P4" s="29"/>
      <c r="Q4" s="29"/>
      <c r="R4" s="29"/>
    </row>
    <row r="5" ht="48" customHeight="1" spans="1:18">
      <c r="A5" s="15"/>
      <c r="B5" s="9" t="s">
        <v>11</v>
      </c>
      <c r="C5" s="10" t="s">
        <v>4</v>
      </c>
      <c r="D5" s="9"/>
      <c r="E5" s="11" t="s">
        <v>5</v>
      </c>
      <c r="F5" s="12" t="s">
        <v>12</v>
      </c>
      <c r="G5" s="16" t="s">
        <v>13</v>
      </c>
      <c r="H5" s="17" t="s">
        <v>14</v>
      </c>
      <c r="I5" s="140">
        <f>I4/D6</f>
        <v>27.7777777777778</v>
      </c>
      <c r="J5" s="9" t="s">
        <v>15</v>
      </c>
      <c r="K5" s="138" t="s">
        <v>16</v>
      </c>
      <c r="L5" s="141"/>
      <c r="M5" s="141"/>
      <c r="N5" s="29"/>
      <c r="O5" s="29"/>
      <c r="P5" s="29"/>
      <c r="Q5" s="29"/>
      <c r="R5" s="29"/>
    </row>
    <row r="6" ht="48" customHeight="1" spans="1:18">
      <c r="A6" s="18"/>
      <c r="B6" s="19" t="s">
        <v>17</v>
      </c>
      <c r="C6" s="17" t="s">
        <v>18</v>
      </c>
      <c r="D6" s="9">
        <v>1.8</v>
      </c>
      <c r="E6" s="11" t="s">
        <v>5</v>
      </c>
      <c r="F6" s="12" t="s">
        <v>19</v>
      </c>
      <c r="G6" s="13" t="s">
        <v>20</v>
      </c>
      <c r="H6" s="20" t="s">
        <v>21</v>
      </c>
      <c r="I6" s="19" t="s">
        <v>22</v>
      </c>
      <c r="J6" s="142">
        <v>0.75</v>
      </c>
      <c r="K6" s="38" t="s">
        <v>23</v>
      </c>
      <c r="L6" s="29"/>
      <c r="M6" s="29"/>
      <c r="N6" s="29"/>
      <c r="O6" s="29"/>
      <c r="P6" s="29"/>
      <c r="Q6" s="29"/>
      <c r="R6" s="29"/>
    </row>
    <row r="7" ht="48" customHeight="1" spans="1:18">
      <c r="A7" s="21" t="s">
        <v>24</v>
      </c>
      <c r="B7" s="22" t="s">
        <v>25</v>
      </c>
      <c r="C7" s="14" t="s">
        <v>26</v>
      </c>
      <c r="D7" s="22">
        <v>30</v>
      </c>
      <c r="E7" s="23" t="s">
        <v>27</v>
      </c>
      <c r="F7" s="12" t="s">
        <v>28</v>
      </c>
      <c r="G7" s="16" t="s">
        <v>29</v>
      </c>
      <c r="H7" s="24" t="s">
        <v>30</v>
      </c>
      <c r="I7" s="19">
        <v>86</v>
      </c>
      <c r="J7" s="19" t="s">
        <v>31</v>
      </c>
      <c r="K7" s="138" t="s">
        <v>32</v>
      </c>
      <c r="L7" s="29"/>
      <c r="M7" s="29"/>
      <c r="N7" s="29"/>
      <c r="O7" s="29"/>
      <c r="P7" s="29"/>
      <c r="Q7" s="29"/>
      <c r="R7" s="29"/>
    </row>
    <row r="8" ht="48" customHeight="1" spans="1:18">
      <c r="A8" s="25"/>
      <c r="B8" s="16" t="s">
        <v>33</v>
      </c>
      <c r="C8" s="10" t="s">
        <v>34</v>
      </c>
      <c r="D8" s="9">
        <v>12</v>
      </c>
      <c r="E8" s="11" t="s">
        <v>27</v>
      </c>
      <c r="F8" s="12" t="s">
        <v>35</v>
      </c>
      <c r="G8" s="16" t="s">
        <v>36</v>
      </c>
      <c r="H8" s="17" t="s">
        <v>37</v>
      </c>
      <c r="I8" s="19" t="s">
        <v>38</v>
      </c>
      <c r="J8" s="19" t="s">
        <v>39</v>
      </c>
      <c r="K8" s="143" t="s">
        <v>40</v>
      </c>
      <c r="L8" s="29"/>
      <c r="M8" s="29"/>
      <c r="N8" s="29"/>
      <c r="O8" s="29"/>
      <c r="P8" s="29"/>
      <c r="Q8" s="29"/>
      <c r="R8" s="29"/>
    </row>
    <row r="9" ht="48" customHeight="1" spans="1:18">
      <c r="A9" s="26"/>
      <c r="B9" s="27"/>
      <c r="C9" s="28"/>
      <c r="D9" s="28"/>
      <c r="E9" s="28"/>
      <c r="F9" s="29"/>
      <c r="G9" s="29"/>
      <c r="H9" s="29"/>
      <c r="I9" s="29"/>
      <c r="J9" s="144"/>
      <c r="K9" s="29"/>
      <c r="L9" s="29"/>
      <c r="M9" s="29"/>
      <c r="N9" s="29"/>
      <c r="O9" s="29"/>
      <c r="P9" s="29"/>
      <c r="Q9" s="29"/>
      <c r="R9" s="29"/>
    </row>
    <row r="10" ht="25.5" customHeight="1" spans="1:18">
      <c r="A10" s="30" t="s">
        <v>41</v>
      </c>
      <c r="B10" s="30"/>
      <c r="C10" s="30"/>
      <c r="D10" s="31"/>
      <c r="E10" s="31"/>
      <c r="F10" s="31"/>
      <c r="G10" s="31"/>
      <c r="H10" s="31"/>
      <c r="I10" s="31"/>
      <c r="J10" s="31"/>
      <c r="K10" s="29"/>
      <c r="L10" s="29"/>
      <c r="M10" s="29"/>
      <c r="N10" s="29"/>
      <c r="O10" s="29"/>
      <c r="P10" s="29"/>
      <c r="Q10" s="29"/>
      <c r="R10" s="29"/>
    </row>
    <row r="11" ht="48" customHeight="1" spans="11:18">
      <c r="K11" s="145"/>
      <c r="L11" s="137"/>
      <c r="M11" s="137"/>
      <c r="N11" s="29"/>
      <c r="O11" s="29"/>
      <c r="P11" s="29"/>
      <c r="Q11" s="29"/>
      <c r="R11" s="29"/>
    </row>
    <row r="12" ht="31.5" customHeight="1" spans="1:18">
      <c r="A12" s="32" t="s">
        <v>42</v>
      </c>
      <c r="B12" s="33"/>
      <c r="C12" s="33"/>
      <c r="D12" s="33"/>
      <c r="E12" s="33"/>
      <c r="F12" s="32" t="s">
        <v>43</v>
      </c>
      <c r="G12" s="33"/>
      <c r="H12" s="33"/>
      <c r="I12" s="33"/>
      <c r="J12" s="33"/>
      <c r="K12" s="146"/>
      <c r="L12" s="147"/>
      <c r="M12" s="147"/>
      <c r="N12" s="29"/>
      <c r="O12" s="29"/>
      <c r="P12" s="29"/>
      <c r="Q12" s="29"/>
      <c r="R12" s="29"/>
    </row>
    <row r="13" ht="64.5" customHeight="1" spans="1:18">
      <c r="A13" s="34" t="s">
        <v>44</v>
      </c>
      <c r="B13" s="35" t="s">
        <v>45</v>
      </c>
      <c r="C13" s="36" t="s">
        <v>46</v>
      </c>
      <c r="D13" s="37">
        <v>2400</v>
      </c>
      <c r="E13" s="38" t="s">
        <v>47</v>
      </c>
      <c r="F13" s="34" t="s">
        <v>48</v>
      </c>
      <c r="G13" s="35" t="s">
        <v>49</v>
      </c>
      <c r="H13" s="36" t="s">
        <v>37</v>
      </c>
      <c r="I13" s="148">
        <v>1</v>
      </c>
      <c r="J13" s="38" t="s">
        <v>4</v>
      </c>
      <c r="K13" s="139"/>
      <c r="L13" s="139"/>
      <c r="M13" s="139"/>
      <c r="N13" s="29"/>
      <c r="O13" s="149"/>
      <c r="P13" s="149"/>
      <c r="Q13" s="29"/>
      <c r="R13" s="29"/>
    </row>
    <row r="14" ht="64.5" customHeight="1" spans="1:18">
      <c r="A14" s="39" t="s">
        <v>50</v>
      </c>
      <c r="B14" s="35" t="s">
        <v>51</v>
      </c>
      <c r="C14" s="36" t="s">
        <v>52</v>
      </c>
      <c r="D14" s="37">
        <f>610.78*EXP((17.269*D7)/(D7+237.3))</f>
        <v>4242.44995258475</v>
      </c>
      <c r="E14" s="38" t="s">
        <v>53</v>
      </c>
      <c r="F14" s="39" t="s">
        <v>54</v>
      </c>
      <c r="G14" s="35" t="s">
        <v>55</v>
      </c>
      <c r="H14" s="36" t="s">
        <v>56</v>
      </c>
      <c r="I14" s="148">
        <f>5.8+(4.1*0.8)</f>
        <v>9.08</v>
      </c>
      <c r="J14" s="38" t="s">
        <v>57</v>
      </c>
      <c r="K14" s="29"/>
      <c r="L14" s="29"/>
      <c r="M14" s="29"/>
      <c r="N14" s="29"/>
      <c r="O14" s="29"/>
      <c r="P14" s="29"/>
      <c r="Q14" s="29"/>
      <c r="R14" s="29"/>
    </row>
    <row r="15" ht="64.5" customHeight="1" spans="1:20">
      <c r="A15" s="39" t="s">
        <v>50</v>
      </c>
      <c r="B15" s="40" t="s">
        <v>58</v>
      </c>
      <c r="C15" s="36" t="s">
        <v>59</v>
      </c>
      <c r="D15" s="37">
        <f>610.78*EXP((17.269*D8)/(D8+237.3))</f>
        <v>1402.45043931191</v>
      </c>
      <c r="E15" s="38" t="s">
        <v>53</v>
      </c>
      <c r="F15" s="39" t="s">
        <v>60</v>
      </c>
      <c r="G15" s="40" t="s">
        <v>61</v>
      </c>
      <c r="H15" s="36" t="s">
        <v>62</v>
      </c>
      <c r="I15" s="148">
        <f>D7-D8</f>
        <v>18</v>
      </c>
      <c r="J15" s="38" t="s">
        <v>27</v>
      </c>
      <c r="K15" s="29"/>
      <c r="L15" s="29"/>
      <c r="M15" s="29"/>
      <c r="N15" s="29"/>
      <c r="O15" s="29"/>
      <c r="P15" s="29"/>
      <c r="Q15" s="29"/>
      <c r="R15" s="29"/>
      <c r="T15" s="173"/>
    </row>
    <row r="16" ht="64.5" customHeight="1" spans="1:20">
      <c r="A16" s="41" t="s">
        <v>63</v>
      </c>
      <c r="B16" s="35" t="s">
        <v>64</v>
      </c>
      <c r="C16" s="36" t="s">
        <v>65</v>
      </c>
      <c r="D16" s="42">
        <f>(I7/100)*D15</f>
        <v>1206.10737780825</v>
      </c>
      <c r="E16" s="38" t="s">
        <v>53</v>
      </c>
      <c r="F16" s="41" t="s">
        <v>66</v>
      </c>
      <c r="G16" s="35" t="s">
        <v>67</v>
      </c>
      <c r="H16" s="36" t="s">
        <v>68</v>
      </c>
      <c r="I16" s="150">
        <f>(I5*I14*I15*I13)/1000</f>
        <v>4.54</v>
      </c>
      <c r="J16" s="38" t="s">
        <v>69</v>
      </c>
      <c r="K16" s="29"/>
      <c r="L16" s="29"/>
      <c r="M16" s="29"/>
      <c r="N16" s="29"/>
      <c r="O16" s="29"/>
      <c r="P16" s="29"/>
      <c r="Q16" s="29"/>
      <c r="R16" s="29"/>
      <c r="T16" s="173"/>
    </row>
    <row r="17" ht="64.5" customHeight="1" spans="1:18">
      <c r="A17" s="34" t="s">
        <v>70</v>
      </c>
      <c r="B17" s="43" t="s">
        <v>71</v>
      </c>
      <c r="C17" s="36" t="s">
        <v>72</v>
      </c>
      <c r="D17" s="37">
        <f>(D14-D15)/1000</f>
        <v>2.83999951327283</v>
      </c>
      <c r="E17" s="38" t="s">
        <v>73</v>
      </c>
      <c r="F17" s="44" t="s">
        <v>74</v>
      </c>
      <c r="G17" s="44"/>
      <c r="H17" s="44"/>
      <c r="I17" s="44"/>
      <c r="J17" s="44"/>
      <c r="K17" s="29"/>
      <c r="L17" s="29"/>
      <c r="M17" s="29"/>
      <c r="N17" s="29"/>
      <c r="O17" s="29"/>
      <c r="P17" s="29"/>
      <c r="Q17" s="29"/>
      <c r="R17" s="29"/>
    </row>
    <row r="18" ht="64.5" customHeight="1" spans="1:18">
      <c r="A18" s="34" t="s">
        <v>75</v>
      </c>
      <c r="B18" s="43" t="s">
        <v>76</v>
      </c>
      <c r="C18" s="36" t="s">
        <v>77</v>
      </c>
      <c r="D18" s="37">
        <f>(0.089+0.078*0.8)*D17*I5</f>
        <v>11.9437757308196</v>
      </c>
      <c r="E18" s="38" t="s">
        <v>78</v>
      </c>
      <c r="F18" s="34" t="s">
        <v>79</v>
      </c>
      <c r="G18" s="35" t="s">
        <v>80</v>
      </c>
      <c r="H18" s="34" t="s">
        <v>81</v>
      </c>
      <c r="I18" s="151">
        <f>(SUM(D27,D19,I16))*0.2</f>
        <v>3.45333316583035</v>
      </c>
      <c r="J18" s="38" t="s">
        <v>69</v>
      </c>
      <c r="K18" s="29"/>
      <c r="L18" s="29"/>
      <c r="M18" s="29"/>
      <c r="N18" s="29"/>
      <c r="O18" s="29"/>
      <c r="P18" s="29"/>
      <c r="Q18" s="29"/>
      <c r="R18" s="29"/>
    </row>
    <row r="19" ht="64.5" customHeight="1" spans="1:18">
      <c r="A19" s="45" t="s">
        <v>82</v>
      </c>
      <c r="B19" s="46" t="s">
        <v>83</v>
      </c>
      <c r="C19" s="47" t="s">
        <v>84</v>
      </c>
      <c r="D19" s="48">
        <f>(D13*D18)/3600</f>
        <v>7.96251715387976</v>
      </c>
      <c r="E19" s="49" t="s">
        <v>69</v>
      </c>
      <c r="F19" s="50"/>
      <c r="G19" s="51"/>
      <c r="H19" s="52"/>
      <c r="I19" s="152"/>
      <c r="J19" s="153"/>
      <c r="K19" s="29"/>
      <c r="L19" s="29"/>
      <c r="M19" s="29"/>
      <c r="N19" s="29"/>
      <c r="O19" s="29"/>
      <c r="P19" s="29"/>
      <c r="Q19" s="29"/>
      <c r="R19" s="29"/>
    </row>
    <row r="20" ht="32.25" customHeight="1" spans="1:20">
      <c r="A20" s="53" t="s">
        <v>85</v>
      </c>
      <c r="B20" s="53"/>
      <c r="C20" s="53"/>
      <c r="D20" s="53"/>
      <c r="E20" s="53"/>
      <c r="F20" s="53" t="s">
        <v>86</v>
      </c>
      <c r="G20" s="53"/>
      <c r="H20" s="53"/>
      <c r="I20" s="53"/>
      <c r="J20" s="53"/>
      <c r="K20" s="29"/>
      <c r="L20" s="29"/>
      <c r="M20" s="29"/>
      <c r="N20" s="29"/>
      <c r="O20" s="29"/>
      <c r="P20" s="29"/>
      <c r="Q20" s="29"/>
      <c r="R20" s="29"/>
      <c r="T20" s="174"/>
    </row>
    <row r="21" ht="48" customHeight="1" spans="1:10">
      <c r="A21" s="39" t="s">
        <v>87</v>
      </c>
      <c r="B21" s="36" t="s">
        <v>87</v>
      </c>
      <c r="C21" s="36" t="s">
        <v>88</v>
      </c>
      <c r="D21" s="42">
        <f>D7+273</f>
        <v>303</v>
      </c>
      <c r="E21" s="38" t="s">
        <v>89</v>
      </c>
      <c r="F21" s="54" t="s">
        <v>90</v>
      </c>
      <c r="G21" s="54" t="s">
        <v>90</v>
      </c>
      <c r="H21" s="54" t="s">
        <v>91</v>
      </c>
      <c r="I21" s="154">
        <f>SUM(D27,D19,I16,I18)</f>
        <v>20.7199989949821</v>
      </c>
      <c r="J21" s="155" t="s">
        <v>69</v>
      </c>
    </row>
    <row r="22" ht="48" customHeight="1" spans="1:10">
      <c r="A22" s="39" t="s">
        <v>87</v>
      </c>
      <c r="B22" s="36" t="s">
        <v>87</v>
      </c>
      <c r="C22" s="36" t="s">
        <v>92</v>
      </c>
      <c r="D22" s="42">
        <f>D8+273</f>
        <v>285</v>
      </c>
      <c r="E22" s="38" t="s">
        <v>89</v>
      </c>
      <c r="F22" s="55"/>
      <c r="G22" s="55"/>
      <c r="H22" s="55"/>
      <c r="I22" s="156"/>
      <c r="J22" s="157"/>
    </row>
    <row r="23" ht="48" customHeight="1" spans="1:10">
      <c r="A23" s="39" t="s">
        <v>93</v>
      </c>
      <c r="B23" s="56" t="s">
        <v>94</v>
      </c>
      <c r="C23" s="36" t="s">
        <v>95</v>
      </c>
      <c r="D23" s="42">
        <v>5.67e-8</v>
      </c>
      <c r="E23" s="38" t="s">
        <v>4</v>
      </c>
      <c r="F23" s="57" t="s">
        <v>96</v>
      </c>
      <c r="G23" s="57"/>
      <c r="H23" s="57"/>
      <c r="I23" s="57"/>
      <c r="J23" s="57"/>
    </row>
    <row r="24" ht="48" customHeight="1" spans="1:10">
      <c r="A24" s="39" t="s">
        <v>97</v>
      </c>
      <c r="B24" s="56" t="s">
        <v>98</v>
      </c>
      <c r="C24" s="36" t="s">
        <v>99</v>
      </c>
      <c r="D24" s="58">
        <f>D21^4</f>
        <v>8428892481</v>
      </c>
      <c r="E24" s="38" t="s">
        <v>100</v>
      </c>
      <c r="F24" s="41" t="s">
        <v>101</v>
      </c>
      <c r="G24" s="41" t="s">
        <v>101</v>
      </c>
      <c r="H24" s="59" t="s">
        <v>102</v>
      </c>
      <c r="I24" s="64">
        <v>4.18</v>
      </c>
      <c r="J24" s="158" t="s">
        <v>103</v>
      </c>
    </row>
    <row r="25" ht="48" customHeight="1" spans="1:10">
      <c r="A25" s="39" t="s">
        <v>97</v>
      </c>
      <c r="B25" s="56" t="s">
        <v>98</v>
      </c>
      <c r="C25" s="36" t="s">
        <v>104</v>
      </c>
      <c r="D25" s="58">
        <f>D22^4</f>
        <v>6597500625</v>
      </c>
      <c r="E25" s="38" t="s">
        <v>100</v>
      </c>
      <c r="F25" s="41" t="s">
        <v>105</v>
      </c>
      <c r="G25" s="41" t="s">
        <v>105</v>
      </c>
      <c r="H25" s="59" t="s">
        <v>106</v>
      </c>
      <c r="I25" s="64">
        <v>998</v>
      </c>
      <c r="J25" s="158" t="s">
        <v>107</v>
      </c>
    </row>
    <row r="26" ht="48" customHeight="1" spans="1:10">
      <c r="A26" s="39" t="s">
        <v>108</v>
      </c>
      <c r="B26" s="56" t="s">
        <v>109</v>
      </c>
      <c r="C26" s="36" t="s">
        <v>110</v>
      </c>
      <c r="D26" s="58">
        <f>D24-(0.8*D25)</f>
        <v>3150891981</v>
      </c>
      <c r="E26" s="38" t="s">
        <v>100</v>
      </c>
      <c r="F26" s="41" t="s">
        <v>111</v>
      </c>
      <c r="G26" s="41" t="s">
        <v>111</v>
      </c>
      <c r="H26" s="59" t="s">
        <v>112</v>
      </c>
      <c r="I26" s="64">
        <f>D7-(D8-2)</f>
        <v>20</v>
      </c>
      <c r="J26" s="158" t="s">
        <v>27</v>
      </c>
    </row>
    <row r="27" ht="48" customHeight="1" spans="1:10">
      <c r="A27" s="34" t="s">
        <v>113</v>
      </c>
      <c r="B27" s="56" t="s">
        <v>114</v>
      </c>
      <c r="C27" s="36" t="s">
        <v>115</v>
      </c>
      <c r="D27" s="42">
        <f>(I5*D23*0.96*D26)/1000</f>
        <v>4.764148675272</v>
      </c>
      <c r="E27" s="60" t="s">
        <v>69</v>
      </c>
      <c r="F27" s="41" t="s">
        <v>116</v>
      </c>
      <c r="G27" s="41" t="s">
        <v>116</v>
      </c>
      <c r="H27" s="41" t="s">
        <v>117</v>
      </c>
      <c r="I27" s="150">
        <f>I4*I26*I25*I24/3600</f>
        <v>1158.78888888889</v>
      </c>
      <c r="J27" s="60" t="s">
        <v>118</v>
      </c>
    </row>
    <row r="28" ht="48" customHeight="1"/>
    <row r="29" ht="48" customHeight="1" spans="1:10">
      <c r="A29" s="61" t="s">
        <v>119</v>
      </c>
      <c r="B29" s="61"/>
      <c r="C29" s="61"/>
      <c r="D29" s="62"/>
      <c r="E29" s="62"/>
      <c r="F29" s="62"/>
      <c r="G29" s="62"/>
      <c r="H29" s="62"/>
      <c r="I29" s="62"/>
      <c r="J29" s="62"/>
    </row>
    <row r="30" ht="33.75" customHeight="1" spans="1:10">
      <c r="A30" s="63" t="s">
        <v>120</v>
      </c>
      <c r="B30" s="63"/>
      <c r="C30" s="63"/>
      <c r="D30" s="63"/>
      <c r="E30" s="63"/>
      <c r="F30" s="63"/>
      <c r="G30" s="63"/>
      <c r="H30" s="63"/>
      <c r="I30" s="63"/>
      <c r="J30" s="63"/>
    </row>
    <row r="31" ht="48" customHeight="1" spans="1:10">
      <c r="A31" s="59" t="s">
        <v>121</v>
      </c>
      <c r="B31" s="64" t="s">
        <v>122</v>
      </c>
      <c r="C31" s="65" t="s">
        <v>123</v>
      </c>
      <c r="D31" s="66"/>
      <c r="E31" s="64"/>
      <c r="F31" s="59" t="s">
        <v>121</v>
      </c>
      <c r="G31" s="67" t="s">
        <v>124</v>
      </c>
      <c r="H31" s="68" t="s">
        <v>123</v>
      </c>
      <c r="I31" s="68"/>
      <c r="J31" s="64"/>
    </row>
    <row r="32" ht="48" customHeight="1" spans="1:10">
      <c r="A32" s="39" t="s">
        <v>125</v>
      </c>
      <c r="B32" s="69" t="s">
        <v>126</v>
      </c>
      <c r="C32" s="70">
        <v>20</v>
      </c>
      <c r="D32" s="71" t="s">
        <v>69</v>
      </c>
      <c r="E32" s="72" t="s">
        <v>127</v>
      </c>
      <c r="F32" s="39" t="s">
        <v>125</v>
      </c>
      <c r="G32" s="73">
        <v>7521008</v>
      </c>
      <c r="H32" s="70">
        <v>20</v>
      </c>
      <c r="I32" s="71" t="s">
        <v>69</v>
      </c>
      <c r="J32" s="72" t="s">
        <v>127</v>
      </c>
    </row>
    <row r="33" ht="48" customHeight="1" spans="1:10">
      <c r="A33" s="39" t="s">
        <v>128</v>
      </c>
      <c r="B33" s="69" t="s">
        <v>129</v>
      </c>
      <c r="C33" s="70">
        <v>30</v>
      </c>
      <c r="D33" s="71" t="s">
        <v>69</v>
      </c>
      <c r="E33" s="72" t="s">
        <v>127</v>
      </c>
      <c r="F33" s="39" t="s">
        <v>128</v>
      </c>
      <c r="G33" s="73">
        <v>10605042</v>
      </c>
      <c r="H33" s="70">
        <v>30</v>
      </c>
      <c r="I33" s="71" t="s">
        <v>69</v>
      </c>
      <c r="J33" s="72" t="s">
        <v>127</v>
      </c>
    </row>
    <row r="34" ht="48" customHeight="1" spans="1:10">
      <c r="A34" s="39" t="s">
        <v>130</v>
      </c>
      <c r="B34" s="69" t="s">
        <v>131</v>
      </c>
      <c r="C34" s="70">
        <v>40</v>
      </c>
      <c r="D34" s="71" t="s">
        <v>69</v>
      </c>
      <c r="E34" s="72" t="s">
        <v>127</v>
      </c>
      <c r="F34" s="39" t="s">
        <v>130</v>
      </c>
      <c r="G34" s="73">
        <v>14411765</v>
      </c>
      <c r="H34" s="70">
        <v>40</v>
      </c>
      <c r="I34" s="71" t="s">
        <v>69</v>
      </c>
      <c r="J34" s="72" t="s">
        <v>127</v>
      </c>
    </row>
    <row r="35" ht="48" customHeight="1" spans="1:10">
      <c r="A35" s="64"/>
      <c r="B35" s="64"/>
      <c r="C35" s="64"/>
      <c r="D35" s="64"/>
      <c r="E35" s="64"/>
      <c r="F35" s="64"/>
      <c r="G35" s="64"/>
      <c r="H35" s="64"/>
      <c r="I35" s="64"/>
      <c r="J35" s="64"/>
    </row>
    <row r="36" ht="34.5" customHeight="1" spans="1:10">
      <c r="A36" s="74" t="s">
        <v>132</v>
      </c>
      <c r="B36" s="63"/>
      <c r="C36" s="63"/>
      <c r="D36" s="63"/>
      <c r="E36" s="63"/>
      <c r="F36" s="63"/>
      <c r="G36" s="63"/>
      <c r="H36" s="63"/>
      <c r="I36" s="63"/>
      <c r="J36" s="159"/>
    </row>
    <row r="37" ht="48" customHeight="1" spans="1:10">
      <c r="A37" s="41" t="s">
        <v>133</v>
      </c>
      <c r="B37" s="75" t="s">
        <v>134</v>
      </c>
      <c r="C37" s="70">
        <v>27</v>
      </c>
      <c r="D37" s="70" t="s">
        <v>69</v>
      </c>
      <c r="E37" s="72" t="s">
        <v>135</v>
      </c>
      <c r="F37" s="41" t="s">
        <v>133</v>
      </c>
      <c r="G37" s="73">
        <v>10605042</v>
      </c>
      <c r="H37" s="70">
        <v>27</v>
      </c>
      <c r="I37" s="70" t="s">
        <v>69</v>
      </c>
      <c r="J37" s="72" t="s">
        <v>135</v>
      </c>
    </row>
    <row r="38" ht="48" customHeight="1" spans="1:10">
      <c r="A38" s="41" t="s">
        <v>136</v>
      </c>
      <c r="B38" s="75" t="s">
        <v>137</v>
      </c>
      <c r="C38" s="70">
        <v>40</v>
      </c>
      <c r="D38" s="70" t="s">
        <v>69</v>
      </c>
      <c r="E38" s="72" t="s">
        <v>135</v>
      </c>
      <c r="F38" s="41" t="s">
        <v>136</v>
      </c>
      <c r="G38" s="73">
        <v>14411765</v>
      </c>
      <c r="H38" s="70">
        <v>40</v>
      </c>
      <c r="I38" s="70" t="s">
        <v>69</v>
      </c>
      <c r="J38" s="72" t="s">
        <v>135</v>
      </c>
    </row>
    <row r="39" s="1" customFormat="1" ht="48" customHeight="1" spans="1:10">
      <c r="A39" s="76"/>
      <c r="B39" s="77"/>
      <c r="C39" s="78"/>
      <c r="D39" s="78"/>
      <c r="E39" s="78"/>
      <c r="F39" s="76"/>
      <c r="G39" s="79"/>
      <c r="H39" s="78"/>
      <c r="I39" s="78"/>
      <c r="J39" s="160"/>
    </row>
    <row r="40" s="1" customFormat="1" ht="48" customHeight="1" spans="1:10">
      <c r="A40" s="61" t="s">
        <v>138</v>
      </c>
      <c r="B40" s="61"/>
      <c r="C40" s="61"/>
      <c r="D40" s="62"/>
      <c r="E40" s="62"/>
      <c r="F40" s="62"/>
      <c r="G40" s="62"/>
      <c r="H40" s="62"/>
      <c r="I40" s="62"/>
      <c r="J40" s="62"/>
    </row>
    <row r="41" s="1" customFormat="1" ht="48" customHeight="1" spans="1:10">
      <c r="A41" s="53" t="s">
        <v>132</v>
      </c>
      <c r="B41" s="53"/>
      <c r="C41" s="53"/>
      <c r="D41" s="53"/>
      <c r="E41" s="53"/>
      <c r="F41" s="53" t="s">
        <v>132</v>
      </c>
      <c r="G41" s="53"/>
      <c r="H41" s="53"/>
      <c r="I41" s="53"/>
      <c r="J41" s="53"/>
    </row>
    <row r="42" s="1" customFormat="1" ht="48" customHeight="1" spans="1:10">
      <c r="A42" s="41" t="s">
        <v>139</v>
      </c>
      <c r="B42" s="75" t="s">
        <v>134</v>
      </c>
      <c r="C42" s="70">
        <v>27</v>
      </c>
      <c r="D42" s="70" t="s">
        <v>69</v>
      </c>
      <c r="E42" s="72" t="s">
        <v>135</v>
      </c>
      <c r="F42" s="41" t="s">
        <v>139</v>
      </c>
      <c r="G42" s="73">
        <v>10605042</v>
      </c>
      <c r="H42" s="70">
        <v>27</v>
      </c>
      <c r="I42" s="70" t="s">
        <v>69</v>
      </c>
      <c r="J42" s="72" t="s">
        <v>135</v>
      </c>
    </row>
    <row r="43" s="1" customFormat="1" ht="48" customHeight="1" spans="1:11">
      <c r="A43" s="41" t="s">
        <v>140</v>
      </c>
      <c r="B43" s="75" t="s">
        <v>134</v>
      </c>
      <c r="C43" s="70">
        <v>27</v>
      </c>
      <c r="D43" s="70" t="s">
        <v>69</v>
      </c>
      <c r="E43" s="72" t="s">
        <v>135</v>
      </c>
      <c r="F43" s="41" t="s">
        <v>140</v>
      </c>
      <c r="G43" s="73">
        <v>10605042</v>
      </c>
      <c r="H43" s="70">
        <v>27</v>
      </c>
      <c r="I43" s="70" t="s">
        <v>69</v>
      </c>
      <c r="J43" s="72" t="s">
        <v>135</v>
      </c>
      <c r="K43" s="161"/>
    </row>
    <row r="44" s="1" customFormat="1" ht="48" customHeight="1" spans="1:11">
      <c r="A44" s="80"/>
      <c r="B44" s="81"/>
      <c r="C44" s="82"/>
      <c r="D44" s="82"/>
      <c r="E44" s="82"/>
      <c r="F44" s="80"/>
      <c r="G44" s="83"/>
      <c r="H44" s="82"/>
      <c r="I44" s="82"/>
      <c r="J44" s="82"/>
      <c r="K44" s="161"/>
    </row>
    <row r="45" s="2" customFormat="1" ht="48" customHeight="1" spans="1:10">
      <c r="A45" s="84" t="s">
        <v>141</v>
      </c>
      <c r="B45" s="85"/>
      <c r="C45" s="86"/>
      <c r="D45" s="87" t="s">
        <v>142</v>
      </c>
      <c r="E45" s="88"/>
      <c r="F45" s="88"/>
      <c r="G45" s="88"/>
      <c r="H45" s="88"/>
      <c r="I45" s="162"/>
      <c r="J45" s="163"/>
    </row>
    <row r="46" ht="36.75" customHeight="1" spans="1:10">
      <c r="A46" s="89"/>
      <c r="B46" s="90"/>
      <c r="C46" s="91"/>
      <c r="D46" s="92" t="s">
        <v>143</v>
      </c>
      <c r="E46" s="93"/>
      <c r="F46" s="93"/>
      <c r="G46" s="93" t="s">
        <v>144</v>
      </c>
      <c r="H46" s="93"/>
      <c r="I46" s="164"/>
      <c r="J46" s="165"/>
    </row>
    <row r="47" ht="33" customHeight="1" spans="1:10">
      <c r="A47" s="94" t="s">
        <v>145</v>
      </c>
      <c r="B47" s="95"/>
      <c r="C47" s="95"/>
      <c r="D47" s="96" t="s">
        <v>145</v>
      </c>
      <c r="E47" s="97"/>
      <c r="F47" s="97"/>
      <c r="G47" s="98" t="s">
        <v>146</v>
      </c>
      <c r="H47" s="98"/>
      <c r="I47" s="166"/>
      <c r="J47" s="167"/>
    </row>
    <row r="48" ht="33" customHeight="1" spans="1:10">
      <c r="A48" s="99" t="s">
        <v>147</v>
      </c>
      <c r="B48" s="100"/>
      <c r="C48" s="100"/>
      <c r="D48" s="101" t="s">
        <v>148</v>
      </c>
      <c r="E48" s="102"/>
      <c r="F48" s="102"/>
      <c r="G48" s="100" t="s">
        <v>149</v>
      </c>
      <c r="H48" s="100"/>
      <c r="I48" s="168"/>
      <c r="J48" s="167"/>
    </row>
    <row r="49" ht="33" customHeight="1" spans="1:10">
      <c r="A49" s="103" t="s">
        <v>150</v>
      </c>
      <c r="B49" s="104"/>
      <c r="C49" s="104"/>
      <c r="D49" s="105" t="s">
        <v>151</v>
      </c>
      <c r="E49" s="106"/>
      <c r="F49" s="106"/>
      <c r="G49" s="107" t="s">
        <v>152</v>
      </c>
      <c r="H49" s="107"/>
      <c r="I49" s="169"/>
      <c r="J49" s="167"/>
    </row>
    <row r="50" ht="33" customHeight="1" spans="1:10">
      <c r="A50" s="101" t="s">
        <v>153</v>
      </c>
      <c r="B50" s="102"/>
      <c r="C50" s="102"/>
      <c r="D50" s="101" t="s">
        <v>150</v>
      </c>
      <c r="E50" s="102"/>
      <c r="F50" s="102"/>
      <c r="G50" s="100" t="s">
        <v>154</v>
      </c>
      <c r="H50" s="100"/>
      <c r="I50" s="168"/>
      <c r="J50" s="167"/>
    </row>
    <row r="51" ht="33" customHeight="1" spans="1:10">
      <c r="A51" s="103" t="s">
        <v>155</v>
      </c>
      <c r="B51" s="104"/>
      <c r="C51" s="104"/>
      <c r="D51" s="105" t="s">
        <v>156</v>
      </c>
      <c r="E51" s="106"/>
      <c r="F51" s="106"/>
      <c r="G51" s="107" t="s">
        <v>157</v>
      </c>
      <c r="H51" s="107"/>
      <c r="I51" s="169"/>
      <c r="J51" s="167"/>
    </row>
    <row r="52" ht="33" customHeight="1" spans="1:10">
      <c r="A52" s="101" t="s">
        <v>158</v>
      </c>
      <c r="B52" s="102"/>
      <c r="C52" s="102"/>
      <c r="D52" s="101" t="s">
        <v>159</v>
      </c>
      <c r="E52" s="102"/>
      <c r="F52" s="102"/>
      <c r="G52" s="100" t="s">
        <v>160</v>
      </c>
      <c r="H52" s="100"/>
      <c r="I52" s="168"/>
      <c r="J52" s="167"/>
    </row>
    <row r="53" ht="33" customHeight="1" spans="1:10">
      <c r="A53" s="108"/>
      <c r="B53" s="109"/>
      <c r="C53" s="109"/>
      <c r="D53" s="105" t="s">
        <v>161</v>
      </c>
      <c r="E53" s="106"/>
      <c r="F53" s="106"/>
      <c r="G53" s="107" t="s">
        <v>162</v>
      </c>
      <c r="H53" s="107"/>
      <c r="I53" s="169"/>
      <c r="J53" s="167"/>
    </row>
    <row r="54" ht="33" customHeight="1" spans="1:10">
      <c r="A54" s="110"/>
      <c r="B54" s="111"/>
      <c r="C54" s="111"/>
      <c r="D54" s="110"/>
      <c r="E54" s="111"/>
      <c r="F54" s="112"/>
      <c r="G54" s="111" t="s">
        <v>163</v>
      </c>
      <c r="H54" s="111"/>
      <c r="I54" s="170"/>
      <c r="J54" s="113"/>
    </row>
    <row r="55" ht="21.75" customHeight="1" spans="1:10">
      <c r="A55" s="113"/>
      <c r="B55" s="114" t="str">
        <f>IF(AND(3&lt;$I$21,$I$21&lt;=26.9),$A$37,IF(AND(26.9&lt;$I$21,$I$21&lt;=41.9),$A$38,IF(AND(41.9&lt;$I$21,$I$21&lt;=53.9),CONCATENATE("2","*",$A$37))))</f>
        <v>BCAH-96-410-XEF </v>
      </c>
      <c r="C55" s="113"/>
      <c r="D55" s="113"/>
      <c r="E55" s="113"/>
      <c r="F55" s="113"/>
      <c r="G55" s="113"/>
      <c r="H55" s="114"/>
      <c r="I55" s="114"/>
      <c r="J55" s="114"/>
    </row>
    <row r="56" s="1" customFormat="1" ht="21.75" customHeight="1" spans="1:10">
      <c r="A56" s="113"/>
      <c r="B56" s="114"/>
      <c r="C56" s="113"/>
      <c r="D56" s="113"/>
      <c r="E56" s="113"/>
      <c r="F56" s="113"/>
      <c r="G56" s="113"/>
      <c r="H56" s="114"/>
      <c r="I56" s="114"/>
      <c r="J56" s="114"/>
    </row>
    <row r="57" s="1" customFormat="1" ht="21.75" customHeight="1" spans="1:10">
      <c r="A57" s="113"/>
      <c r="B57" s="114"/>
      <c r="C57" s="113"/>
      <c r="D57" s="113"/>
      <c r="E57" s="113"/>
      <c r="F57" s="113"/>
      <c r="G57" s="113"/>
      <c r="H57" s="114"/>
      <c r="I57" s="114"/>
      <c r="J57" s="114"/>
    </row>
    <row r="58" ht="29.4" customHeight="1" spans="1:10">
      <c r="A58" s="113"/>
      <c r="B58" s="113"/>
      <c r="C58" s="113"/>
      <c r="D58" s="113"/>
      <c r="E58" s="113"/>
      <c r="F58" s="113"/>
      <c r="G58" s="113"/>
      <c r="H58" s="114"/>
      <c r="I58" s="114"/>
      <c r="J58" s="114"/>
    </row>
    <row r="59" ht="32.25" customHeight="1" spans="1:10">
      <c r="A59" s="115" t="s">
        <v>164</v>
      </c>
      <c r="B59" s="115"/>
      <c r="C59" s="115"/>
      <c r="D59" s="115"/>
      <c r="E59" s="115"/>
      <c r="F59" s="116" t="s">
        <v>165</v>
      </c>
      <c r="G59" s="116"/>
      <c r="H59" s="116"/>
      <c r="I59" s="116"/>
      <c r="J59" s="116"/>
    </row>
    <row r="60" ht="50.25" customHeight="1" spans="1:10">
      <c r="A60" s="117" t="s">
        <v>166</v>
      </c>
      <c r="B60" s="118" t="s">
        <v>167</v>
      </c>
      <c r="C60" s="119" t="s">
        <v>168</v>
      </c>
      <c r="D60" s="120">
        <v>30</v>
      </c>
      <c r="E60" s="117" t="s">
        <v>69</v>
      </c>
      <c r="F60" s="121" t="s">
        <v>169</v>
      </c>
      <c r="G60" s="122" t="s">
        <v>170</v>
      </c>
      <c r="H60" s="121" t="s">
        <v>171</v>
      </c>
      <c r="I60" s="121">
        <v>10</v>
      </c>
      <c r="J60" s="121" t="s">
        <v>172</v>
      </c>
    </row>
    <row r="61" ht="47.25" customHeight="1" spans="1:10">
      <c r="A61" s="123" t="s">
        <v>173</v>
      </c>
      <c r="B61" s="123"/>
      <c r="C61" s="123"/>
      <c r="D61" s="123"/>
      <c r="E61" s="124"/>
      <c r="F61" s="125" t="s">
        <v>174</v>
      </c>
      <c r="G61" s="126" t="s">
        <v>175</v>
      </c>
      <c r="H61" s="125" t="s">
        <v>117</v>
      </c>
      <c r="I61" s="171">
        <f>I27</f>
        <v>1158.78888888889</v>
      </c>
      <c r="J61" s="125" t="s">
        <v>118</v>
      </c>
    </row>
    <row r="62" ht="46.5" customHeight="1" spans="1:10">
      <c r="A62" s="127" t="s">
        <v>176</v>
      </c>
      <c r="B62" s="128" t="s">
        <v>177</v>
      </c>
      <c r="C62" s="127" t="s">
        <v>34</v>
      </c>
      <c r="D62" s="127">
        <f>D8</f>
        <v>12</v>
      </c>
      <c r="E62" s="129" t="s">
        <v>27</v>
      </c>
      <c r="F62" s="121" t="s">
        <v>178</v>
      </c>
      <c r="G62" s="122" t="s">
        <v>179</v>
      </c>
      <c r="H62" s="121" t="s">
        <v>180</v>
      </c>
      <c r="I62" s="172">
        <f>D60-I21</f>
        <v>9.28000100501789</v>
      </c>
      <c r="J62" s="121" t="s">
        <v>69</v>
      </c>
    </row>
    <row r="63" ht="46.5" customHeight="1" spans="1:10">
      <c r="A63" s="130"/>
      <c r="B63" s="122" t="s">
        <v>181</v>
      </c>
      <c r="C63" s="121" t="s">
        <v>182</v>
      </c>
      <c r="D63" s="131" t="s">
        <v>183</v>
      </c>
      <c r="E63" s="132"/>
      <c r="F63" s="125" t="s">
        <v>184</v>
      </c>
      <c r="G63" s="126" t="s">
        <v>185</v>
      </c>
      <c r="H63" s="125" t="s">
        <v>186</v>
      </c>
      <c r="I63" s="171">
        <f>I61/(I62*I60)</f>
        <v>12.4869478813882</v>
      </c>
      <c r="J63" s="125" t="s">
        <v>172</v>
      </c>
    </row>
    <row r="64" ht="36" customHeight="1" spans="1:15">
      <c r="A64" s="133"/>
      <c r="B64" s="128" t="s">
        <v>187</v>
      </c>
      <c r="C64" s="134"/>
      <c r="D64" s="135"/>
      <c r="E64" s="135"/>
      <c r="F64" s="116" t="s">
        <v>188</v>
      </c>
      <c r="G64" s="116"/>
      <c r="H64" s="116"/>
      <c r="I64" s="116"/>
      <c r="J64" s="116"/>
      <c r="K64" s="116" t="s">
        <v>189</v>
      </c>
      <c r="L64" s="116"/>
      <c r="M64" s="116"/>
      <c r="N64" s="116"/>
      <c r="O64" s="116"/>
    </row>
    <row r="65" ht="36" customHeight="1" spans="1:15">
      <c r="A65" s="175"/>
      <c r="B65" s="122" t="s">
        <v>190</v>
      </c>
      <c r="C65" s="176"/>
      <c r="D65" s="177"/>
      <c r="E65" s="177"/>
      <c r="F65" s="178" t="s">
        <v>191</v>
      </c>
      <c r="G65" s="179" t="s">
        <v>192</v>
      </c>
      <c r="H65" s="179" t="s">
        <v>193</v>
      </c>
      <c r="I65" s="179">
        <v>7330</v>
      </c>
      <c r="J65" s="179" t="s">
        <v>194</v>
      </c>
      <c r="K65" s="194" t="s">
        <v>195</v>
      </c>
      <c r="L65" s="179" t="s">
        <v>192</v>
      </c>
      <c r="M65" s="179" t="s">
        <v>196</v>
      </c>
      <c r="N65" s="179">
        <v>13</v>
      </c>
      <c r="O65" s="179" t="s">
        <v>31</v>
      </c>
    </row>
    <row r="66" ht="34.5" customHeight="1" spans="1:15">
      <c r="A66" s="41" t="s">
        <v>197</v>
      </c>
      <c r="B66" s="180" t="s">
        <v>198</v>
      </c>
      <c r="C66" s="41" t="s">
        <v>199</v>
      </c>
      <c r="D66" s="181">
        <f>I21/D63</f>
        <v>5.17999974874553</v>
      </c>
      <c r="E66" s="132" t="s">
        <v>69</v>
      </c>
      <c r="F66" s="178"/>
      <c r="G66" s="182" t="s">
        <v>200</v>
      </c>
      <c r="H66" s="183" t="s">
        <v>193</v>
      </c>
      <c r="I66" s="183">
        <v>6963</v>
      </c>
      <c r="J66" s="183" t="s">
        <v>194</v>
      </c>
      <c r="K66" s="194"/>
      <c r="L66" s="182" t="s">
        <v>200</v>
      </c>
      <c r="M66" s="183" t="s">
        <v>196</v>
      </c>
      <c r="N66" s="183">
        <v>18</v>
      </c>
      <c r="O66" s="183" t="s">
        <v>31</v>
      </c>
    </row>
    <row r="67" ht="34.5" customHeight="1" spans="1:15">
      <c r="A67" s="184" t="s">
        <v>201</v>
      </c>
      <c r="B67" s="185" t="s">
        <v>202</v>
      </c>
      <c r="C67" s="184" t="s">
        <v>203</v>
      </c>
      <c r="D67" s="186">
        <f>D66*24</f>
        <v>124.319993969893</v>
      </c>
      <c r="E67" s="129" t="s">
        <v>204</v>
      </c>
      <c r="F67" s="178"/>
      <c r="G67" s="179" t="s">
        <v>205</v>
      </c>
      <c r="H67" s="179" t="s">
        <v>193</v>
      </c>
      <c r="I67" s="179">
        <v>8050</v>
      </c>
      <c r="J67" s="179" t="s">
        <v>194</v>
      </c>
      <c r="K67" s="194"/>
      <c r="L67" s="179" t="s">
        <v>205</v>
      </c>
      <c r="M67" s="179" t="s">
        <v>196</v>
      </c>
      <c r="N67" s="179">
        <v>18</v>
      </c>
      <c r="O67" s="179" t="s">
        <v>31</v>
      </c>
    </row>
    <row r="68" ht="34.5" customHeight="1" spans="1:15">
      <c r="A68" s="41" t="s">
        <v>206</v>
      </c>
      <c r="B68" s="187" t="s">
        <v>207</v>
      </c>
      <c r="C68" s="41" t="s">
        <v>208</v>
      </c>
      <c r="D68" s="188">
        <f>D67*30*0.7</f>
        <v>2610.71987336775</v>
      </c>
      <c r="E68" s="132" t="s">
        <v>209</v>
      </c>
      <c r="F68" s="178"/>
      <c r="G68" s="182" t="s">
        <v>210</v>
      </c>
      <c r="H68" s="183" t="s">
        <v>193</v>
      </c>
      <c r="I68" s="183">
        <v>8512</v>
      </c>
      <c r="J68" s="183" t="s">
        <v>194</v>
      </c>
      <c r="K68" s="194"/>
      <c r="L68" s="182" t="s">
        <v>210</v>
      </c>
      <c r="M68" s="183" t="s">
        <v>196</v>
      </c>
      <c r="N68" s="183">
        <v>22</v>
      </c>
      <c r="O68" s="183" t="s">
        <v>31</v>
      </c>
    </row>
    <row r="69" ht="34.5" customHeight="1" spans="1:15">
      <c r="A69" s="184" t="s">
        <v>211</v>
      </c>
      <c r="B69" s="185" t="s">
        <v>212</v>
      </c>
      <c r="C69" s="184" t="s">
        <v>213</v>
      </c>
      <c r="D69" s="127">
        <v>700</v>
      </c>
      <c r="E69" s="129" t="s">
        <v>214</v>
      </c>
      <c r="F69" s="178"/>
      <c r="G69" s="179" t="s">
        <v>215</v>
      </c>
      <c r="H69" s="179" t="s">
        <v>193</v>
      </c>
      <c r="I69" s="179">
        <v>8200</v>
      </c>
      <c r="J69" s="179" t="s">
        <v>194</v>
      </c>
      <c r="K69" s="194"/>
      <c r="L69" s="179" t="s">
        <v>215</v>
      </c>
      <c r="M69" s="179" t="s">
        <v>196</v>
      </c>
      <c r="N69" s="179">
        <v>18</v>
      </c>
      <c r="O69" s="179" t="s">
        <v>31</v>
      </c>
    </row>
    <row r="70" ht="34.5" customHeight="1" spans="1:15">
      <c r="A70" s="41" t="s">
        <v>216</v>
      </c>
      <c r="B70" s="187" t="s">
        <v>216</v>
      </c>
      <c r="C70" s="41" t="s">
        <v>217</v>
      </c>
      <c r="D70" s="189">
        <f>D68*D69</f>
        <v>1827503.91135742</v>
      </c>
      <c r="E70" s="132"/>
      <c r="F70" s="190" t="s">
        <v>218</v>
      </c>
      <c r="G70" s="182" t="s">
        <v>192</v>
      </c>
      <c r="H70" s="183" t="s">
        <v>219</v>
      </c>
      <c r="I70" s="183">
        <v>7696</v>
      </c>
      <c r="J70" s="183" t="s">
        <v>194</v>
      </c>
      <c r="K70" s="195" t="s">
        <v>220</v>
      </c>
      <c r="L70" s="182" t="s">
        <v>192</v>
      </c>
      <c r="M70" s="183" t="s">
        <v>221</v>
      </c>
      <c r="N70" s="183">
        <v>15</v>
      </c>
      <c r="O70" s="183" t="s">
        <v>31</v>
      </c>
    </row>
    <row r="71" ht="29.25" customHeight="1" spans="6:15">
      <c r="F71" s="190"/>
      <c r="G71" s="191" t="s">
        <v>200</v>
      </c>
      <c r="H71" s="191" t="s">
        <v>219</v>
      </c>
      <c r="I71" s="191">
        <v>7310</v>
      </c>
      <c r="J71" s="191" t="s">
        <v>194</v>
      </c>
      <c r="K71" s="195"/>
      <c r="L71" s="191" t="s">
        <v>200</v>
      </c>
      <c r="M71" s="191" t="s">
        <v>221</v>
      </c>
      <c r="N71" s="191">
        <v>20</v>
      </c>
      <c r="O71" s="191" t="s">
        <v>31</v>
      </c>
    </row>
    <row r="72" ht="29.25" customHeight="1" spans="6:15">
      <c r="F72" s="190"/>
      <c r="G72" s="182" t="s">
        <v>205</v>
      </c>
      <c r="H72" s="183" t="s">
        <v>219</v>
      </c>
      <c r="I72" s="183">
        <v>8288</v>
      </c>
      <c r="J72" s="183" t="s">
        <v>194</v>
      </c>
      <c r="K72" s="195"/>
      <c r="L72" s="182" t="s">
        <v>205</v>
      </c>
      <c r="M72" s="183" t="s">
        <v>221</v>
      </c>
      <c r="N72" s="183">
        <v>20</v>
      </c>
      <c r="O72" s="183" t="s">
        <v>31</v>
      </c>
    </row>
    <row r="73" ht="29.25" customHeight="1" spans="6:15">
      <c r="F73" s="190"/>
      <c r="G73" s="191" t="s">
        <v>210</v>
      </c>
      <c r="H73" s="191" t="s">
        <v>219</v>
      </c>
      <c r="I73" s="191">
        <v>8736</v>
      </c>
      <c r="J73" s="191" t="s">
        <v>194</v>
      </c>
      <c r="K73" s="195"/>
      <c r="L73" s="191" t="s">
        <v>210</v>
      </c>
      <c r="M73" s="191" t="s">
        <v>221</v>
      </c>
      <c r="N73" s="191">
        <v>24</v>
      </c>
      <c r="O73" s="191" t="s">
        <v>31</v>
      </c>
    </row>
    <row r="74" ht="29.25" customHeight="1" spans="6:15">
      <c r="F74" s="190"/>
      <c r="G74" s="182" t="s">
        <v>215</v>
      </c>
      <c r="H74" s="183" t="s">
        <v>219</v>
      </c>
      <c r="I74" s="183">
        <v>8400</v>
      </c>
      <c r="J74" s="183" t="s">
        <v>194</v>
      </c>
      <c r="K74" s="195"/>
      <c r="L74" s="182" t="s">
        <v>215</v>
      </c>
      <c r="M74" s="183" t="s">
        <v>221</v>
      </c>
      <c r="N74" s="183">
        <v>20</v>
      </c>
      <c r="O74" s="183" t="s">
        <v>31</v>
      </c>
    </row>
    <row r="75" ht="30" customHeight="1" spans="6:15">
      <c r="F75" s="192" t="s">
        <v>222</v>
      </c>
      <c r="G75" s="193" t="s">
        <v>192</v>
      </c>
      <c r="H75" s="193" t="s">
        <v>223</v>
      </c>
      <c r="I75" s="193">
        <v>8050</v>
      </c>
      <c r="J75" s="193" t="s">
        <v>194</v>
      </c>
      <c r="K75" s="196" t="s">
        <v>224</v>
      </c>
      <c r="L75" s="193" t="s">
        <v>192</v>
      </c>
      <c r="M75" s="193" t="s">
        <v>225</v>
      </c>
      <c r="N75" s="193">
        <v>17</v>
      </c>
      <c r="O75" s="193" t="s">
        <v>31</v>
      </c>
    </row>
    <row r="76" ht="30" customHeight="1" spans="6:15">
      <c r="F76" s="192"/>
      <c r="G76" s="182" t="s">
        <v>200</v>
      </c>
      <c r="H76" s="183" t="s">
        <v>223</v>
      </c>
      <c r="I76" s="183">
        <v>7676</v>
      </c>
      <c r="J76" s="183" t="s">
        <v>194</v>
      </c>
      <c r="K76" s="196"/>
      <c r="L76" s="182" t="s">
        <v>200</v>
      </c>
      <c r="M76" s="183" t="s">
        <v>225</v>
      </c>
      <c r="N76" s="183">
        <v>22</v>
      </c>
      <c r="O76" s="183" t="s">
        <v>31</v>
      </c>
    </row>
    <row r="77" ht="30" customHeight="1" spans="6:15">
      <c r="F77" s="192"/>
      <c r="G77" s="193" t="s">
        <v>205</v>
      </c>
      <c r="H77" s="193" t="s">
        <v>223</v>
      </c>
      <c r="I77" s="193">
        <v>8624</v>
      </c>
      <c r="J77" s="193" t="s">
        <v>194</v>
      </c>
      <c r="K77" s="196"/>
      <c r="L77" s="193" t="s">
        <v>205</v>
      </c>
      <c r="M77" s="193" t="s">
        <v>225</v>
      </c>
      <c r="N77" s="193">
        <v>22</v>
      </c>
      <c r="O77" s="193" t="s">
        <v>31</v>
      </c>
    </row>
    <row r="78" ht="30" customHeight="1" spans="6:15">
      <c r="F78" s="192"/>
      <c r="G78" s="182" t="s">
        <v>210</v>
      </c>
      <c r="H78" s="183" t="s">
        <v>223</v>
      </c>
      <c r="I78" s="183">
        <v>8960</v>
      </c>
      <c r="J78" s="183" t="s">
        <v>194</v>
      </c>
      <c r="K78" s="196"/>
      <c r="L78" s="182" t="s">
        <v>210</v>
      </c>
      <c r="M78" s="183" t="s">
        <v>225</v>
      </c>
      <c r="N78" s="183">
        <v>26</v>
      </c>
      <c r="O78" s="183" t="s">
        <v>31</v>
      </c>
    </row>
    <row r="79" ht="30" customHeight="1" spans="6:15">
      <c r="F79" s="192"/>
      <c r="G79" s="193" t="s">
        <v>215</v>
      </c>
      <c r="H79" s="193" t="s">
        <v>223</v>
      </c>
      <c r="I79" s="193">
        <v>8680</v>
      </c>
      <c r="J79" s="193" t="s">
        <v>194</v>
      </c>
      <c r="K79" s="196"/>
      <c r="L79" s="193" t="s">
        <v>215</v>
      </c>
      <c r="M79" s="193" t="s">
        <v>225</v>
      </c>
      <c r="N79" s="193">
        <v>22</v>
      </c>
      <c r="O79" s="193" t="s">
        <v>31</v>
      </c>
    </row>
    <row r="80" ht="36.75" customHeight="1" spans="6:10">
      <c r="F80" s="116" t="s">
        <v>226</v>
      </c>
      <c r="G80" s="116"/>
      <c r="H80" s="116"/>
      <c r="I80" s="116"/>
      <c r="J80" s="116"/>
    </row>
    <row r="81" ht="27" customHeight="1" spans="6:10">
      <c r="F81" s="178" t="s">
        <v>195</v>
      </c>
      <c r="G81" s="179" t="s">
        <v>192</v>
      </c>
      <c r="H81" s="179" t="s">
        <v>227</v>
      </c>
      <c r="I81" s="179">
        <v>10</v>
      </c>
      <c r="J81" s="179" t="s">
        <v>31</v>
      </c>
    </row>
    <row r="82" ht="27" customHeight="1" spans="6:10">
      <c r="F82" s="178"/>
      <c r="G82" s="182" t="s">
        <v>200</v>
      </c>
      <c r="H82" s="183" t="s">
        <v>227</v>
      </c>
      <c r="I82" s="183">
        <v>15</v>
      </c>
      <c r="J82" s="183" t="s">
        <v>31</v>
      </c>
    </row>
    <row r="83" ht="27" customHeight="1" spans="6:10">
      <c r="F83" s="178"/>
      <c r="G83" s="179" t="s">
        <v>205</v>
      </c>
      <c r="H83" s="179" t="s">
        <v>227</v>
      </c>
      <c r="I83" s="179">
        <v>15</v>
      </c>
      <c r="J83" s="179" t="s">
        <v>31</v>
      </c>
    </row>
    <row r="84" ht="27" customHeight="1" spans="6:10">
      <c r="F84" s="178"/>
      <c r="G84" s="182" t="s">
        <v>210</v>
      </c>
      <c r="H84" s="183" t="s">
        <v>227</v>
      </c>
      <c r="I84" s="183">
        <v>20</v>
      </c>
      <c r="J84" s="183" t="s">
        <v>31</v>
      </c>
    </row>
    <row r="85" ht="27" customHeight="1" spans="6:10">
      <c r="F85" s="178"/>
      <c r="G85" s="179" t="s">
        <v>215</v>
      </c>
      <c r="H85" s="179" t="s">
        <v>227</v>
      </c>
      <c r="I85" s="179">
        <v>20</v>
      </c>
      <c r="J85" s="179" t="s">
        <v>31</v>
      </c>
    </row>
    <row r="86" ht="27" customHeight="1" spans="6:10">
      <c r="F86" s="190" t="s">
        <v>220</v>
      </c>
      <c r="G86" s="182" t="s">
        <v>192</v>
      </c>
      <c r="H86" s="183" t="s">
        <v>228</v>
      </c>
      <c r="I86" s="183">
        <v>12</v>
      </c>
      <c r="J86" s="183" t="s">
        <v>31</v>
      </c>
    </row>
    <row r="87" ht="27" customHeight="1" spans="6:10">
      <c r="F87" s="190"/>
      <c r="G87" s="191" t="s">
        <v>200</v>
      </c>
      <c r="H87" s="191" t="s">
        <v>228</v>
      </c>
      <c r="I87" s="191">
        <v>15</v>
      </c>
      <c r="J87" s="191" t="s">
        <v>31</v>
      </c>
    </row>
    <row r="88" ht="27" customHeight="1" spans="6:10">
      <c r="F88" s="190"/>
      <c r="G88" s="182" t="s">
        <v>205</v>
      </c>
      <c r="H88" s="183" t="s">
        <v>228</v>
      </c>
      <c r="I88" s="183">
        <v>15</v>
      </c>
      <c r="J88" s="183" t="s">
        <v>31</v>
      </c>
    </row>
    <row r="89" ht="27" customHeight="1" spans="6:10">
      <c r="F89" s="190"/>
      <c r="G89" s="191" t="s">
        <v>210</v>
      </c>
      <c r="H89" s="191" t="s">
        <v>228</v>
      </c>
      <c r="I89" s="191">
        <v>20</v>
      </c>
      <c r="J89" s="191" t="s">
        <v>31</v>
      </c>
    </row>
    <row r="90" ht="27" customHeight="1" spans="6:10">
      <c r="F90" s="190"/>
      <c r="G90" s="182" t="s">
        <v>215</v>
      </c>
      <c r="H90" s="183" t="s">
        <v>228</v>
      </c>
      <c r="I90" s="183">
        <v>20</v>
      </c>
      <c r="J90" s="183" t="s">
        <v>31</v>
      </c>
    </row>
    <row r="91" ht="27" customHeight="1" spans="6:10">
      <c r="F91" s="192" t="s">
        <v>224</v>
      </c>
      <c r="G91" s="193" t="s">
        <v>192</v>
      </c>
      <c r="H91" s="193" t="s">
        <v>229</v>
      </c>
      <c r="I91" s="193">
        <v>14</v>
      </c>
      <c r="J91" s="193" t="s">
        <v>31</v>
      </c>
    </row>
    <row r="92" ht="27" customHeight="1" spans="6:10">
      <c r="F92" s="192"/>
      <c r="G92" s="182" t="s">
        <v>200</v>
      </c>
      <c r="H92" s="183" t="s">
        <v>229</v>
      </c>
      <c r="I92" s="183">
        <v>19</v>
      </c>
      <c r="J92" s="183" t="s">
        <v>31</v>
      </c>
    </row>
    <row r="93" ht="27" customHeight="1" spans="6:10">
      <c r="F93" s="192"/>
      <c r="G93" s="193" t="s">
        <v>205</v>
      </c>
      <c r="H93" s="193" t="s">
        <v>229</v>
      </c>
      <c r="I93" s="193">
        <v>19</v>
      </c>
      <c r="J93" s="193" t="s">
        <v>31</v>
      </c>
    </row>
    <row r="94" ht="27" customHeight="1" spans="6:10">
      <c r="F94" s="192"/>
      <c r="G94" s="182" t="s">
        <v>210</v>
      </c>
      <c r="H94" s="183" t="s">
        <v>229</v>
      </c>
      <c r="I94" s="183">
        <v>19</v>
      </c>
      <c r="J94" s="183" t="s">
        <v>31</v>
      </c>
    </row>
    <row r="95" ht="27" customHeight="1" spans="6:10">
      <c r="F95" s="192"/>
      <c r="G95" s="193" t="s">
        <v>215</v>
      </c>
      <c r="H95" s="193" t="s">
        <v>229</v>
      </c>
      <c r="I95" s="193">
        <v>24</v>
      </c>
      <c r="J95" s="193" t="s">
        <v>31</v>
      </c>
    </row>
  </sheetData>
  <mergeCells count="62">
    <mergeCell ref="A1:B1"/>
    <mergeCell ref="A3:J3"/>
    <mergeCell ref="A10:J10"/>
    <mergeCell ref="A12:E12"/>
    <mergeCell ref="F12:J12"/>
    <mergeCell ref="F17:J17"/>
    <mergeCell ref="A20:E20"/>
    <mergeCell ref="F20:J20"/>
    <mergeCell ref="A29:J29"/>
    <mergeCell ref="A30:J30"/>
    <mergeCell ref="C31:D31"/>
    <mergeCell ref="H31:I31"/>
    <mergeCell ref="A36:J36"/>
    <mergeCell ref="A40:J40"/>
    <mergeCell ref="A41:E41"/>
    <mergeCell ref="F41:J41"/>
    <mergeCell ref="D45:I45"/>
    <mergeCell ref="D46:F46"/>
    <mergeCell ref="G46:I46"/>
    <mergeCell ref="A47:C47"/>
    <mergeCell ref="D47:F47"/>
    <mergeCell ref="G47:I47"/>
    <mergeCell ref="A48:C48"/>
    <mergeCell ref="D48:F48"/>
    <mergeCell ref="G48:I48"/>
    <mergeCell ref="A49:C49"/>
    <mergeCell ref="D49:F49"/>
    <mergeCell ref="G49:I49"/>
    <mergeCell ref="A50:C50"/>
    <mergeCell ref="D50:F50"/>
    <mergeCell ref="G50:I50"/>
    <mergeCell ref="A51:C51"/>
    <mergeCell ref="D51:F51"/>
    <mergeCell ref="G51:I51"/>
    <mergeCell ref="A52:C52"/>
    <mergeCell ref="D52:F52"/>
    <mergeCell ref="G52:I52"/>
    <mergeCell ref="A53:C53"/>
    <mergeCell ref="D53:F53"/>
    <mergeCell ref="G53:I53"/>
    <mergeCell ref="G54:I54"/>
    <mergeCell ref="A59:E59"/>
    <mergeCell ref="F59:J59"/>
    <mergeCell ref="A61:E61"/>
    <mergeCell ref="F64:J64"/>
    <mergeCell ref="K64:O64"/>
    <mergeCell ref="F80:J80"/>
    <mergeCell ref="A4:A6"/>
    <mergeCell ref="A7:A8"/>
    <mergeCell ref="A63:A65"/>
    <mergeCell ref="F65:F69"/>
    <mergeCell ref="F70:F74"/>
    <mergeCell ref="F75:F79"/>
    <mergeCell ref="F81:F85"/>
    <mergeCell ref="F86:F90"/>
    <mergeCell ref="F91:F95"/>
    <mergeCell ref="K65:K69"/>
    <mergeCell ref="K70:K74"/>
    <mergeCell ref="K75:K79"/>
    <mergeCell ref="C64:E65"/>
    <mergeCell ref="D1:J2"/>
    <mergeCell ref="A45:C4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C1A9987-9E07-4556-A57C-2DC444EBEFD7}">
  <ds:schemaRefs/>
</ds:datastoreItem>
</file>

<file path=customXml/itemProps2.xml><?xml version="1.0" encoding="utf-8"?>
<ds:datastoreItem xmlns:ds="http://schemas.openxmlformats.org/officeDocument/2006/customXml" ds:itemID="{F8FC2089-3A25-4020-9765-B2AC5D112963}">
  <ds:schemaRefs/>
</ds:datastoreItem>
</file>

<file path=customXml/itemProps3.xml><?xml version="1.0" encoding="utf-8"?>
<ds:datastoreItem xmlns:ds="http://schemas.openxmlformats.org/officeDocument/2006/customXml" ds:itemID="{30D0DE33-C296-49F9-A687-C58700C662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DE CALCULO 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Bejarano Picon</dc:creator>
  <cp:lastModifiedBy>jeiso</cp:lastModifiedBy>
  <dcterms:created xsi:type="dcterms:W3CDTF">2025-12-01T13:43:00Z</dcterms:created>
  <dcterms:modified xsi:type="dcterms:W3CDTF">2026-02-28T21:56:40Z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0x010100CC6496EB933380489DA52CCAC4E890A8</vt:lpwstr>
  </property>
  <property fmtid="{D5CDD505-2E9C-101B-9397-08002B2CF9AE}" pid="3" name="ICV">
    <vt:lpwstr>2F31F0EB3F8E483489ED59721BB50058_12</vt:lpwstr>
  </property>
  <property fmtid="{D5CDD505-2E9C-101B-9397-08002B2CF9AE}" pid="4" name="KSOProductBuildVer">
    <vt:lpwstr>2058-12.2.0.23196</vt:lpwstr>
  </property>
</Properties>
</file>